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motech.sharepoint.com/sites/IRC/Shared Documents/1Q26 Q-results/Document/"/>
    </mc:Choice>
  </mc:AlternateContent>
  <xr:revisionPtr revIDLastSave="2315" documentId="8_{FB2A0690-CDB4-4136-AE72-D55D82E036D1}" xr6:coauthVersionLast="47" xr6:coauthVersionMax="47" xr10:uidLastSave="{620316EB-2B25-43A0-A32F-C8336182EE9D}"/>
  <bookViews>
    <workbookView xWindow="-110" yWindow="-110" windowWidth="19420" windowHeight="10300" firstSheet="2" activeTab="2" xr2:uid="{3A135583-65F3-424E-8152-3D9C0871F2E7}"/>
  </bookViews>
  <sheets>
    <sheet name="Table of Contents" sheetId="1" r:id="rId1"/>
    <sheet name="Definition" sheetId="11" r:id="rId2"/>
    <sheet name="Operating stats" sheetId="4" r:id="rId3"/>
    <sheet name="FCFF" sheetId="9" r:id="rId4"/>
    <sheet name="Consolidated Income Statements" sheetId="6" r:id="rId5"/>
    <sheet name="Consolidated Balance Sheets" sheetId="8" r:id="rId6"/>
    <sheet name="Sustainability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2" l="1"/>
  <c r="F34" i="12" l="1"/>
  <c r="F33" i="12"/>
  <c r="F28" i="12"/>
  <c r="W28" i="6" l="1"/>
  <c r="X28" i="6"/>
  <c r="Y28" i="6"/>
  <c r="Z28" i="6"/>
  <c r="AA28" i="6"/>
  <c r="AB28" i="6"/>
  <c r="AC28" i="6"/>
  <c r="AD28" i="6"/>
  <c r="AF28" i="6" l="1"/>
  <c r="AE28" i="6"/>
  <c r="U28" i="6"/>
  <c r="T28" i="6"/>
  <c r="S28" i="6"/>
  <c r="R28" i="6"/>
  <c r="Q28" i="6"/>
  <c r="P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F27" i="6"/>
  <c r="AE27" i="6"/>
  <c r="AF26" i="6"/>
  <c r="AE26" i="6"/>
  <c r="X23" i="6"/>
  <c r="AF22" i="6"/>
  <c r="AE22" i="6"/>
  <c r="AD21" i="6"/>
  <c r="AD23" i="6" s="1"/>
  <c r="AC21" i="6"/>
  <c r="AC23" i="6" s="1"/>
  <c r="AB21" i="6"/>
  <c r="AB23" i="6" s="1"/>
  <c r="AA21" i="6"/>
  <c r="AA23" i="6" s="1"/>
  <c r="Z21" i="6"/>
  <c r="Z23" i="6" s="1"/>
  <c r="Y21" i="6"/>
  <c r="Y23" i="6" s="1"/>
  <c r="W21" i="6"/>
  <c r="W23" i="6" s="1"/>
  <c r="U21" i="6"/>
  <c r="U23" i="6" s="1"/>
  <c r="T21" i="6"/>
  <c r="T23" i="6" s="1"/>
  <c r="S21" i="6"/>
  <c r="S23" i="6" s="1"/>
  <c r="R21" i="6"/>
  <c r="R23" i="6" s="1"/>
  <c r="Q21" i="6"/>
  <c r="Q23" i="6" s="1"/>
  <c r="P21" i="6"/>
  <c r="P23" i="6" s="1"/>
  <c r="N21" i="6"/>
  <c r="N23" i="6" s="1"/>
  <c r="M21" i="6"/>
  <c r="M23" i="6" s="1"/>
  <c r="L21" i="6"/>
  <c r="L23" i="6" s="1"/>
  <c r="K21" i="6"/>
  <c r="K23" i="6" s="1"/>
  <c r="J21" i="6"/>
  <c r="J23" i="6" s="1"/>
  <c r="I21" i="6"/>
  <c r="I23" i="6" s="1"/>
  <c r="H21" i="6"/>
  <c r="H23" i="6" s="1"/>
  <c r="G21" i="6"/>
  <c r="G23" i="6" s="1"/>
  <c r="F21" i="6"/>
  <c r="F23" i="6" s="1"/>
  <c r="E21" i="6"/>
  <c r="E23" i="6" s="1"/>
  <c r="D21" i="6"/>
  <c r="D23" i="6" s="1"/>
  <c r="C21" i="6"/>
  <c r="C23" i="6" s="1"/>
  <c r="B21" i="6"/>
  <c r="B23" i="6" s="1"/>
  <c r="AF20" i="6"/>
  <c r="AE20" i="6"/>
  <c r="AF19" i="6"/>
  <c r="AE19" i="6"/>
  <c r="AF18" i="6"/>
  <c r="AE18" i="6"/>
  <c r="AF17" i="6"/>
  <c r="AE17" i="6"/>
  <c r="AF14" i="6"/>
  <c r="AE14" i="6"/>
  <c r="O13" i="6"/>
  <c r="O15" i="6" s="1"/>
  <c r="O25" i="6" s="1"/>
  <c r="O29" i="6" s="1"/>
  <c r="AF12" i="6"/>
  <c r="AE12" i="6"/>
  <c r="AD11" i="6"/>
  <c r="AC11" i="6"/>
  <c r="AC13" i="6" s="1"/>
  <c r="AC15" i="6" s="1"/>
  <c r="AB11" i="6"/>
  <c r="AB13" i="6" s="1"/>
  <c r="AB15" i="6" s="1"/>
  <c r="AA11" i="6"/>
  <c r="AA13" i="6" s="1"/>
  <c r="AA15" i="6" s="1"/>
  <c r="Z11" i="6"/>
  <c r="Z13" i="6" s="1"/>
  <c r="Z15" i="6" s="1"/>
  <c r="Y11" i="6"/>
  <c r="Y13" i="6" s="1"/>
  <c r="Y15" i="6" s="1"/>
  <c r="X11" i="6"/>
  <c r="X13" i="6" s="1"/>
  <c r="X15" i="6" s="1"/>
  <c r="W11" i="6"/>
  <c r="W13" i="6" s="1"/>
  <c r="W15" i="6" s="1"/>
  <c r="U11" i="6"/>
  <c r="U13" i="6" s="1"/>
  <c r="U15" i="6" s="1"/>
  <c r="T11" i="6"/>
  <c r="T13" i="6" s="1"/>
  <c r="T15" i="6" s="1"/>
  <c r="S11" i="6"/>
  <c r="S13" i="6" s="1"/>
  <c r="S15" i="6" s="1"/>
  <c r="R11" i="6"/>
  <c r="R13" i="6" s="1"/>
  <c r="R15" i="6" s="1"/>
  <c r="Q11" i="6"/>
  <c r="Q13" i="6" s="1"/>
  <c r="Q15" i="6" s="1"/>
  <c r="P11" i="6"/>
  <c r="P13" i="6" s="1"/>
  <c r="P15" i="6" s="1"/>
  <c r="N11" i="6"/>
  <c r="N13" i="6" s="1"/>
  <c r="N15" i="6" s="1"/>
  <c r="M11" i="6"/>
  <c r="M13" i="6" s="1"/>
  <c r="M15" i="6" s="1"/>
  <c r="L11" i="6"/>
  <c r="L13" i="6" s="1"/>
  <c r="L15" i="6" s="1"/>
  <c r="K11" i="6"/>
  <c r="K13" i="6" s="1"/>
  <c r="K15" i="6" s="1"/>
  <c r="J11" i="6"/>
  <c r="J13" i="6" s="1"/>
  <c r="J15" i="6" s="1"/>
  <c r="I11" i="6"/>
  <c r="I13" i="6" s="1"/>
  <c r="I15" i="6" s="1"/>
  <c r="H11" i="6"/>
  <c r="H13" i="6" s="1"/>
  <c r="H15" i="6" s="1"/>
  <c r="G11" i="6"/>
  <c r="G13" i="6" s="1"/>
  <c r="G15" i="6" s="1"/>
  <c r="F11" i="6"/>
  <c r="F13" i="6" s="1"/>
  <c r="F15" i="6" s="1"/>
  <c r="E11" i="6"/>
  <c r="E13" i="6" s="1"/>
  <c r="E15" i="6" s="1"/>
  <c r="D11" i="6"/>
  <c r="D13" i="6" s="1"/>
  <c r="D15" i="6" s="1"/>
  <c r="C11" i="6"/>
  <c r="C13" i="6" s="1"/>
  <c r="C15" i="6" s="1"/>
  <c r="B11" i="6"/>
  <c r="B13" i="6" s="1"/>
  <c r="B15" i="6" s="1"/>
  <c r="AF10" i="6"/>
  <c r="AE10" i="6"/>
  <c r="AF8" i="6"/>
  <c r="AE8" i="6"/>
  <c r="AF7" i="6"/>
  <c r="AE7" i="6"/>
  <c r="O45" i="4"/>
  <c r="N45" i="4"/>
  <c r="M45" i="4"/>
  <c r="L45" i="4"/>
  <c r="K45" i="4"/>
  <c r="J45" i="4"/>
  <c r="I45" i="4"/>
  <c r="H45" i="4"/>
  <c r="G45" i="4"/>
  <c r="F45" i="4"/>
  <c r="E45" i="4"/>
  <c r="D45" i="4"/>
  <c r="X15" i="4"/>
  <c r="W15" i="4"/>
  <c r="V15" i="4"/>
  <c r="U15" i="4"/>
  <c r="T15" i="4"/>
  <c r="S15" i="4"/>
  <c r="R15" i="4"/>
  <c r="Q15" i="4"/>
  <c r="P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O13" i="4"/>
  <c r="N13" i="4"/>
  <c r="M13" i="4"/>
  <c r="L13" i="4"/>
  <c r="K13" i="4"/>
  <c r="J13" i="4"/>
  <c r="I13" i="4"/>
  <c r="H13" i="4"/>
  <c r="G13" i="4"/>
  <c r="F13" i="4"/>
  <c r="F15" i="4" s="1"/>
  <c r="E13" i="4"/>
  <c r="D13" i="4"/>
  <c r="C13" i="4"/>
  <c r="V10" i="4"/>
  <c r="U10" i="4"/>
  <c r="T10" i="4"/>
  <c r="S10" i="4"/>
  <c r="R10" i="4"/>
  <c r="Q10" i="4"/>
  <c r="P10" i="4"/>
  <c r="O10" i="4"/>
  <c r="N10" i="4"/>
  <c r="M10" i="4"/>
  <c r="L10" i="4"/>
  <c r="I10" i="4"/>
  <c r="H10" i="4"/>
  <c r="G10" i="4"/>
  <c r="F10" i="4"/>
  <c r="E10" i="4"/>
  <c r="D10" i="4"/>
  <c r="C10" i="4"/>
  <c r="B10" i="4"/>
  <c r="C15" i="4" l="1"/>
  <c r="O15" i="4"/>
  <c r="M15" i="4"/>
  <c r="D15" i="4"/>
  <c r="I15" i="4"/>
  <c r="N15" i="4"/>
  <c r="L15" i="4"/>
  <c r="E15" i="4"/>
  <c r="H15" i="4"/>
  <c r="G15" i="4"/>
  <c r="K15" i="4"/>
  <c r="J15" i="4"/>
  <c r="W25" i="6"/>
  <c r="W29" i="6" s="1"/>
  <c r="H25" i="6"/>
  <c r="H29" i="6" s="1"/>
  <c r="I25" i="6"/>
  <c r="I29" i="6" s="1"/>
  <c r="Y25" i="6"/>
  <c r="Y29" i="6" s="1"/>
  <c r="J25" i="6"/>
  <c r="J29" i="6" s="1"/>
  <c r="Z25" i="6"/>
  <c r="Z29" i="6" s="1"/>
  <c r="G25" i="6"/>
  <c r="G29" i="6" s="1"/>
  <c r="X25" i="6"/>
  <c r="X29" i="6" s="1"/>
  <c r="K25" i="6"/>
  <c r="K29" i="6" s="1"/>
  <c r="AA25" i="6"/>
  <c r="AA29" i="6" s="1"/>
  <c r="L25" i="6"/>
  <c r="L29" i="6" s="1"/>
  <c r="AB25" i="6"/>
  <c r="AB29" i="6" s="1"/>
  <c r="AC25" i="6"/>
  <c r="AC29" i="6" s="1"/>
  <c r="M25" i="6"/>
  <c r="M29" i="6" s="1"/>
  <c r="P25" i="6"/>
  <c r="P29" i="6" s="1"/>
  <c r="Q25" i="6"/>
  <c r="Q29" i="6" s="1"/>
  <c r="R25" i="6"/>
  <c r="R29" i="6" s="1"/>
  <c r="N25" i="6"/>
  <c r="N29" i="6" s="1"/>
  <c r="B25" i="6"/>
  <c r="B29" i="6" s="1"/>
  <c r="C25" i="6"/>
  <c r="C29" i="6" s="1"/>
  <c r="D25" i="6"/>
  <c r="D29" i="6" s="1"/>
  <c r="S25" i="6"/>
  <c r="S29" i="6" s="1"/>
  <c r="E25" i="6"/>
  <c r="E29" i="6" s="1"/>
  <c r="T25" i="6"/>
  <c r="T29" i="6" s="1"/>
  <c r="F25" i="6"/>
  <c r="F29" i="6" s="1"/>
  <c r="U25" i="6"/>
  <c r="U29" i="6" s="1"/>
  <c r="AF11" i="6"/>
  <c r="AF23" i="6"/>
  <c r="AF21" i="6"/>
  <c r="AD13" i="6"/>
  <c r="AD15" i="6" s="1"/>
  <c r="AE15" i="6" s="1"/>
  <c r="AE23" i="6"/>
  <c r="AE11" i="6"/>
  <c r="AE21" i="6"/>
  <c r="AF15" i="6" l="1"/>
  <c r="AD25" i="6"/>
  <c r="AE25" i="6" s="1"/>
  <c r="AF13" i="6"/>
  <c r="AE13" i="6"/>
  <c r="AD29" i="6" l="1"/>
  <c r="AF25" i="6"/>
  <c r="AE29" i="6" l="1"/>
  <c r="AF29" i="6"/>
</calcChain>
</file>

<file path=xl/sharedStrings.xml><?xml version="1.0" encoding="utf-8"?>
<sst xmlns="http://schemas.openxmlformats.org/spreadsheetml/2006/main" count="482" uniqueCount="279">
  <si>
    <r>
      <t xml:space="preserve">This file contains downloadable content that corresponds to AIS's Investor Relations portal at </t>
    </r>
    <r>
      <rPr>
        <u/>
        <sz val="10"/>
        <color rgb="FF4F81BD"/>
        <rFont val="Arial"/>
        <family val="2"/>
      </rPr>
      <t>https://investor.ais.co.th/</t>
    </r>
    <r>
      <rPr>
        <sz val="10"/>
        <color rgb="FF000000"/>
        <rFont val="Arial"/>
        <family val="2"/>
      </rPr>
      <t>. Click a link below to navigate to that section of the workbook. Each sheet contains a link back to this main page.</t>
    </r>
  </si>
  <si>
    <t>Current Financial Statements</t>
  </si>
  <si>
    <t>Operating stats</t>
  </si>
  <si>
    <t>Consolidated Income Statements</t>
  </si>
  <si>
    <t>Consolidated Balance sheets</t>
  </si>
  <si>
    <t>FCFF</t>
  </si>
  <si>
    <t>Sustainability</t>
  </si>
  <si>
    <t>Key definition</t>
  </si>
  <si>
    <t>Item</t>
  </si>
  <si>
    <t>Details</t>
  </si>
  <si>
    <t>Revenue</t>
  </si>
  <si>
    <t>Mobile revenue</t>
  </si>
  <si>
    <t>Postpaid, prepaid, international roaming and IDD revenues</t>
  </si>
  <si>
    <t>Fixed broadband revenue</t>
  </si>
  <si>
    <t>Fixed broadband internet and Playbox service monthly fee, entry fee</t>
  </si>
  <si>
    <t>Other service revenues</t>
  </si>
  <si>
    <t>IC and NT partnership</t>
  </si>
  <si>
    <t>Interconnection revenue and equipment rental revenue from 2100MHz/Tower NT partnership/700MHz agreement with NT</t>
  </si>
  <si>
    <t>Costs</t>
  </si>
  <si>
    <t>Regulatory fee</t>
  </si>
  <si>
    <t>License regulatory fee and numbering fee</t>
  </si>
  <si>
    <t>Depreciation and amortization</t>
  </si>
  <si>
    <t>Network depreciation, Right-of-use asset amortization and spectrum license amortization</t>
  </si>
  <si>
    <t>Network operating expense</t>
  </si>
  <si>
    <t>Network operating and maintenance costs</t>
  </si>
  <si>
    <t>Other costs of services</t>
  </si>
  <si>
    <t xml:space="preserve">Prepaid commission, interconnection costs, call center, cost of cloud for sale, contents and others </t>
  </si>
  <si>
    <t>Admin and other costs</t>
  </si>
  <si>
    <t>Administrative expenses, staff costs, Bad debt, and D&amp;A</t>
  </si>
  <si>
    <t>Financial Calculation</t>
  </si>
  <si>
    <t>EBIT</t>
  </si>
  <si>
    <t>Operating Profit + Other income (expense) + Finance income + Share of profit (Loss) + Net foreign exchange gain (loss)</t>
  </si>
  <si>
    <t>EBITDA</t>
  </si>
  <si>
    <t>Operating Profit + Other income (expense) + Finance income + Share of profit (Loss) + Depreciation &amp; Amortization + Net foreign exchange gain (loss)</t>
  </si>
  <si>
    <t>EBITDA Service</t>
  </si>
  <si>
    <t>Operating Profit + Other income (expense) + Finance income + Share of profit (Loss) + Depreciation &amp; Amortization + Net foreign exchange gain (loss) - Sales revenue + Cost of SIM and device sales</t>
  </si>
  <si>
    <t>Net Cash Flow From Operating Activities – Cash Flow From Investing - Lease Liability Paid</t>
  </si>
  <si>
    <t>Sustainability Goals</t>
  </si>
  <si>
    <t>Digital Products and Services</t>
  </si>
  <si>
    <t>7% of revenue generated from new digital products and services that enable the digital economy</t>
  </si>
  <si>
    <t>Cyber Security and Customer Privacy Protection</t>
  </si>
  <si>
    <t>- Maintain the highest cybersecurity and personal data protection standards on par with or surpassing those of other business organizations in the industry and the region 
- Enhance the efficiency of cybersecurity and data privacy measures to defend AIS’s significant business value chain</t>
  </si>
  <si>
    <t>Human Resource Management</t>
  </si>
  <si>
    <t xml:space="preserve">More than 90% of AIS employees will receive training in digital technology skills </t>
  </si>
  <si>
    <t>Social Inclusion</t>
  </si>
  <si>
    <t xml:space="preserve">Improve the socio-economic condition of 5 million people </t>
  </si>
  <si>
    <t>Digital Wellness</t>
  </si>
  <si>
    <t xml:space="preserve">Empower digital citizenship by providing digital solutions and tools for 3 million people </t>
  </si>
  <si>
    <t>Climate Actions</t>
  </si>
  <si>
    <t>Reduce GHG emissions intensity as calculated from the ratio of direct (GHG scope 1) and indirect emissions (GHG scope 2) to data traffic, by 25% compared to the 2024 baseline</t>
  </si>
  <si>
    <t>Waste Management</t>
  </si>
  <si>
    <t xml:space="preserve">Maintain zero e-waste to landfill </t>
  </si>
  <si>
    <t>End of worksheet</t>
  </si>
  <si>
    <t>Operational statistics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</si>
  <si>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</si>
  <si>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</si>
  <si>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</si>
  <si>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</si>
  <si>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</si>
  <si>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</si>
  <si>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</si>
  <si>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</si>
  <si>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</si>
  <si>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</si>
  <si>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</si>
  <si>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</si>
  <si>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</si>
  <si>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</si>
  <si>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</si>
  <si>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</si>
  <si>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</si>
  <si>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</si>
  <si>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</si>
  <si>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</si>
  <si>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</si>
  <si>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</si>
  <si>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</si>
  <si>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</si>
  <si>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</si>
  <si>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</si>
  <si>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</si>
  <si>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</si>
  <si>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</si>
  <si>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</si>
  <si>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</si>
  <si>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</si>
  <si>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</si>
  <si>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</si>
  <si>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</si>
  <si>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</si>
  <si>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</si>
  <si>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</si>
  <si>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</si>
  <si>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</si>
  <si>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</si>
  <si>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</si>
  <si>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</si>
  <si>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</si>
  <si>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</si>
  <si>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%YoY</t>
  </si>
  <si>
    <t>%QoQ</t>
  </si>
  <si>
    <t>Mobile business</t>
  </si>
  <si>
    <t>Subscribers</t>
  </si>
  <si>
    <t xml:space="preserve"> Postpaid</t>
  </si>
  <si>
    <t xml:space="preserve"> Prepaid</t>
  </si>
  <si>
    <t>Total subscribers</t>
  </si>
  <si>
    <t>Net additions</t>
  </si>
  <si>
    <t>Postpaid</t>
  </si>
  <si>
    <t>N/A</t>
  </si>
  <si>
    <t>Prepaid</t>
  </si>
  <si>
    <t>Total net addition</t>
  </si>
  <si>
    <t>Key growth indicators</t>
  </si>
  <si>
    <t>5G package subscription</t>
  </si>
  <si>
    <t xml:space="preserve">   </t>
  </si>
  <si>
    <t>VOU (GB / sub / mth)</t>
  </si>
  <si>
    <t>Blended</t>
  </si>
  <si>
    <t>*Note: VOU excludes data from MMS sending from 3Q24 onwards</t>
  </si>
  <si>
    <t>Churn rate (% per month)</t>
  </si>
  <si>
    <t>ARPU (Bt/month/subscriber)</t>
  </si>
  <si>
    <t>Postpaid (TFRS 15)</t>
  </si>
  <si>
    <t>-</t>
  </si>
  <si>
    <t>Prepaid (TFRS 15)</t>
  </si>
  <si>
    <t>Blended (TFRS 15)</t>
  </si>
  <si>
    <t>Fixed Broadband business</t>
  </si>
  <si>
    <t>FBB subscribers</t>
  </si>
  <si>
    <t>FBB net addition</t>
  </si>
  <si>
    <t>2,361,600*</t>
  </si>
  <si>
    <t>FBB ARPU (Bt/subscriber/month)</t>
  </si>
  <si>
    <t xml:space="preserve">*Including acquisition of TTTBB subscriber of 2.3mn </t>
  </si>
  <si>
    <t>Advanced Info Service Plc</t>
  </si>
  <si>
    <t>Investor Relations</t>
  </si>
  <si>
    <t>https://investor.ais.co.th</t>
  </si>
  <si>
    <t>(Bt mn)</t>
  </si>
  <si>
    <t>3M24</t>
  </si>
  <si>
    <t>6M24</t>
  </si>
  <si>
    <t>9M24</t>
  </si>
  <si>
    <t>FY24</t>
  </si>
  <si>
    <t>3M25</t>
  </si>
  <si>
    <t>6M25</t>
  </si>
  <si>
    <t>9M25</t>
  </si>
  <si>
    <t>FY25</t>
  </si>
  <si>
    <t>Operating cash flow, net tax for the period</t>
  </si>
  <si>
    <t>Investing cash flow, for the period</t>
  </si>
  <si>
    <t>Lease liabilities paid for the period</t>
  </si>
  <si>
    <t>Free cash flow to firm</t>
  </si>
  <si>
    <t>(Net Cash Flow From Operating Activities –Investing cash flow - Lease Liability Paid)</t>
  </si>
  <si>
    <t>Consolidated Income Statement</t>
  </si>
  <si>
    <t>Pre-TFRS 15</t>
  </si>
  <si>
    <t>Post-TFRS 15/Pre-TFRS16</t>
  </si>
  <si>
    <t>Post-TFRS16</t>
  </si>
  <si>
    <t>Unit: Bt mn</t>
  </si>
  <si>
    <t xml:space="preserve">Enterprise non-mobile revenue </t>
  </si>
  <si>
    <t>Others service revenue</t>
  </si>
  <si>
    <t>Core service revenue ex. IC &amp; equipment rental</t>
  </si>
  <si>
    <t>Interconnect &amp; NT partnership</t>
  </si>
  <si>
    <t>Service revenue</t>
  </si>
  <si>
    <t>SIM and device sales</t>
  </si>
  <si>
    <t>Total revenue</t>
  </si>
  <si>
    <t>Depreciation &amp; amortization</t>
  </si>
  <si>
    <t>Network operating expenses</t>
  </si>
  <si>
    <t>Other cost of services</t>
  </si>
  <si>
    <t xml:space="preserve">Cost of service </t>
  </si>
  <si>
    <t>Costs of SIM and device sales</t>
  </si>
  <si>
    <t>Total costs of service and sales</t>
  </si>
  <si>
    <t>Gross profit</t>
  </si>
  <si>
    <t>Marketing expenses</t>
  </si>
  <si>
    <t>Admin and other expenses</t>
  </si>
  <si>
    <t>Total SG&amp;A</t>
  </si>
  <si>
    <t>Operating profit</t>
  </si>
  <si>
    <t>Net foreign exchange gain (loss)</t>
  </si>
  <si>
    <t>Other income (expense) &amp; Share of profits (Loss)</t>
  </si>
  <si>
    <t>Finance cost</t>
  </si>
  <si>
    <t>Income tax</t>
  </si>
  <si>
    <t>Non-controlling interest</t>
  </si>
  <si>
    <t>Net profit for the period</t>
  </si>
  <si>
    <t>EBITDA Calculation</t>
  </si>
  <si>
    <t>*Restated in 1Q25, applied retrospectively back to 1Q22</t>
  </si>
  <si>
    <t>Other income, Finance income, and Share of profit</t>
  </si>
  <si>
    <t>EBITDA margin (%)</t>
  </si>
  <si>
    <t>EBITDA Service margin (%)</t>
  </si>
  <si>
    <t>EBIT margin (%)</t>
  </si>
  <si>
    <t>Consolidated Balance Sheet Statement</t>
  </si>
  <si>
    <t>Cash</t>
  </si>
  <si>
    <t>Short-term investment</t>
  </si>
  <si>
    <t>Trade receivable</t>
  </si>
  <si>
    <t>Inventories</t>
  </si>
  <si>
    <t>Other current assets</t>
  </si>
  <si>
    <t>Current Assets</t>
  </si>
  <si>
    <t xml:space="preserve">Spectrum license </t>
  </si>
  <si>
    <t>Network and PPE</t>
  </si>
  <si>
    <t>Right-of-use assets</t>
  </si>
  <si>
    <t>Intangible asset</t>
  </si>
  <si>
    <t>Defer tax asset</t>
  </si>
  <si>
    <t>Other non-current assets</t>
  </si>
  <si>
    <t>Total Assets</t>
  </si>
  <si>
    <t>Trade payable</t>
  </si>
  <si>
    <t>Short-term loan &amp; CP of Long-term loans</t>
  </si>
  <si>
    <t>Current portion of lease lease liabilities</t>
  </si>
  <si>
    <t>Accrued R/S expense</t>
  </si>
  <si>
    <t>Current portion of spectrum license payable</t>
  </si>
  <si>
    <t>Other current liabilities</t>
  </si>
  <si>
    <t>Current Liabilities</t>
  </si>
  <si>
    <t>Debenture &amp; Long-term loans</t>
  </si>
  <si>
    <t>Long-term lease liabilities</t>
  </si>
  <si>
    <t>Spectrum payable</t>
  </si>
  <si>
    <t>Other non-current liabilities</t>
  </si>
  <si>
    <t>Total Liabilities</t>
  </si>
  <si>
    <t>Retained earnings</t>
  </si>
  <si>
    <t>Other equity</t>
  </si>
  <si>
    <t>Total Equity</t>
  </si>
  <si>
    <t>Sustainability Updates</t>
  </si>
  <si>
    <t>Unit</t>
  </si>
  <si>
    <t>FY22</t>
  </si>
  <si>
    <t>FY23</t>
  </si>
  <si>
    <t>Drive Digital Economy</t>
  </si>
  <si>
    <t>New digital services revenue</t>
  </si>
  <si>
    <t>%</t>
  </si>
  <si>
    <t>Litigation or fine from data leakage, theft, or loss</t>
  </si>
  <si>
    <t>Number of cases</t>
  </si>
  <si>
    <t>Independent Director</t>
  </si>
  <si>
    <t>Woman director on board</t>
  </si>
  <si>
    <t>Gender employee diversity (women)</t>
  </si>
  <si>
    <t>Promote Digital Inclusion</t>
  </si>
  <si>
    <t>5G network coverage</t>
  </si>
  <si>
    <t>% Population</t>
  </si>
  <si>
    <t>Improving socio-economic condition and quality of life</t>
  </si>
  <si>
    <t>Million Person</t>
  </si>
  <si>
    <t>Promoting digital wellness</t>
  </si>
  <si>
    <t>Act on Climate</t>
  </si>
  <si>
    <t>GHG Emission (scope 1 and 2)</t>
  </si>
  <si>
    <r>
      <t>Ton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e</t>
    </r>
  </si>
  <si>
    <t>GHG Emission (scope 3)</t>
  </si>
  <si>
    <t>GHG emission intensity</t>
  </si>
  <si>
    <r>
      <t>Ton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e / Terabyte</t>
    </r>
  </si>
  <si>
    <t>Renewable energy</t>
  </si>
  <si>
    <t>Water Discharge</t>
  </si>
  <si>
    <t>Disposal Electronics waste to landfill</t>
  </si>
  <si>
    <t>Ton</t>
  </si>
  <si>
    <t>Target</t>
  </si>
  <si>
    <t>Target Year</t>
  </si>
  <si>
    <t>% Progression</t>
  </si>
  <si>
    <t>Achieved</t>
  </si>
  <si>
    <t>Digital wellness</t>
  </si>
  <si>
    <t>1Q26</t>
  </si>
  <si>
    <t>AIS Financial &amp; Operating Statistics - 1Q26</t>
  </si>
  <si>
    <t>3M26</t>
  </si>
  <si>
    <t>NM %</t>
  </si>
  <si>
    <t>Enterprise business including Enterprise Data Services (EDS), Cloud, Data Center, ICT Solution, and Digital Solutions</t>
  </si>
  <si>
    <t>440*</t>
  </si>
  <si>
    <t>441*</t>
  </si>
  <si>
    <t>Enterprise (non-mobile) revenue (reported)</t>
  </si>
  <si>
    <t>Mobile revenue (reclassified)</t>
  </si>
  <si>
    <t>Mobile revenue (reported)</t>
  </si>
  <si>
    <t>Enterprise (non-mobile) revenue (reclassified)</t>
  </si>
  <si>
    <t>Reclassified for revenue adjustments</t>
  </si>
  <si>
    <t>Reclassified for ARPU adjustment</t>
  </si>
  <si>
    <t>Postpaid (Reported)</t>
  </si>
  <si>
    <t>Blended (Reported)</t>
  </si>
  <si>
    <t>Postpaid (Adjusted)</t>
  </si>
  <si>
    <t>Blended (Adjusted)</t>
  </si>
  <si>
    <t xml:space="preserve">Free Cash Flow </t>
  </si>
  <si>
    <t>*Mobile and enterprise (non-mobile) revenue have been reclassified from 1Q25 to align with the current period classification. 
There is no impact to core service revenue.</t>
  </si>
  <si>
    <t>*Blended and postpaid ARPU is restated from 1Q25 to align with current period mobile and enterprise (non-mobile) revenue reclassification.</t>
  </si>
  <si>
    <t>228*</t>
  </si>
  <si>
    <t>233*</t>
  </si>
  <si>
    <t>234*</t>
  </si>
  <si>
    <t>240*</t>
  </si>
  <si>
    <t>238*</t>
  </si>
  <si>
    <t>31,611*</t>
  </si>
  <si>
    <t>1,821*</t>
  </si>
  <si>
    <t>2,024*</t>
  </si>
  <si>
    <t>32,815*</t>
  </si>
  <si>
    <t>34,016*</t>
  </si>
  <si>
    <t>32,349*</t>
  </si>
  <si>
    <t>2,098*</t>
  </si>
  <si>
    <t>2,020*</t>
  </si>
  <si>
    <t>34,005*</t>
  </si>
  <si>
    <t>1,853*</t>
  </si>
  <si>
    <t>439*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</si>
</sst>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-* #,##0_-;\-* #,##0_-;_-* &quot;-&quot;??_-;_-@_-"/>
    <numFmt numFmtId="188" formatCode="0.0%"/>
    <numFmt numFmtId="189" formatCode="_-* #,##0.0_-;\-* #,##0.0_-;_-* &quot;-&quot;??_-;_-@_-"/>
    <numFmt numFmtId="190" formatCode="#,##0.000"/>
    <numFmt numFmtId="191" formatCode="_-* #,##0.000_-;\-* #,##0.000_-;_-* &quot;-&quot;??_-;_-@_-"/>
    <numFmt numFmtId="192" formatCode="_(* #,##0_);_(* \(#,##0\);_(* &quot;-&quot;??_);_(@_)"/>
    <numFmt numFmtId="193" formatCode="[$-409]mmm\-yy;@"/>
    <numFmt numFmtId="194" formatCode="\t&quot;£&quot;#,##0_);[Red]\(\t&quot;£&quot;#,##0\)"/>
    <numFmt numFmtId="195" formatCode="#,##0.00\ &quot;FB&quot;;[Red]\-#,##0.00\ &quot;FB&quot;"/>
    <numFmt numFmtId="196" formatCode="dd\-mmm\-yy_)"/>
    <numFmt numFmtId="197" formatCode="0.00_)"/>
    <numFmt numFmtId="198" formatCode="_-* #,##0_฿_-;\-* #,##0_฿_-;_-* &quot;-&quot;_฿_-;_-@_-"/>
    <numFmt numFmtId="199" formatCode="_-* #,##0.00_฿_-;\-* #,##0.00_฿_-;_-* &quot;-&quot;??_฿_-;_-@_-"/>
    <numFmt numFmtId="200" formatCode="_-* #,##0&quot;฿&quot;_-;\-* #,##0&quot;฿&quot;_-;_-* &quot;-&quot;&quot;฿&quot;_-;_-@_-"/>
    <numFmt numFmtId="201" formatCode="_-* #,##0.00&quot;฿&quot;_-;\-* #,##0.00&quot;฿&quot;_-;_-* &quot;-&quot;??&quot;฿&quot;_-;_-@_-"/>
    <numFmt numFmtId="202" formatCode="&quot;\&quot;#,##0.00;[Red]&quot;\&quot;&quot;\&quot;&quot;\&quot;&quot;\&quot;&quot;\&quot;\-#,##0.00"/>
    <numFmt numFmtId="203" formatCode="_-* #,##0_-;\-* #,##0_-;_-* \-??_-;_-@_-"/>
    <numFmt numFmtId="204" formatCode="#,##0.00&quot; FB&quot;;[Red]\-#,##0.00&quot; FB&quot;"/>
    <numFmt numFmtId="205" formatCode="#,##0.0_);[Red]\(#,##0.0\)"/>
    <numFmt numFmtId="206" formatCode="General_)"/>
    <numFmt numFmtId="207" formatCode="#,##0.0_);\(#,##0.0\)"/>
    <numFmt numFmtId="208" formatCode="#,##0.00\ ;\(#,##0.00\)"/>
  </numFmts>
  <fonts count="14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rgb="FF000000"/>
      <name val="Arial"/>
      <family val="2"/>
    </font>
    <font>
      <u/>
      <sz val="10"/>
      <color rgb="FF4F81BD"/>
      <name val="Arial"/>
      <family val="2"/>
    </font>
    <font>
      <sz val="10"/>
      <name val="Arial"/>
      <family val="2"/>
    </font>
    <font>
      <u/>
      <sz val="11"/>
      <color theme="10"/>
      <name val="Tahoma"/>
      <family val="2"/>
      <charset val="222"/>
      <scheme val="minor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9"/>
      <color rgb="FF76933C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indexed="9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9"/>
      <color indexed="63"/>
      <name val="Arial"/>
      <family val="2"/>
    </font>
    <font>
      <sz val="9"/>
      <color theme="1"/>
      <name val="Arial"/>
      <family val="2"/>
    </font>
    <font>
      <sz val="8"/>
      <color indexed="63"/>
      <name val="Arial"/>
      <family val="2"/>
    </font>
    <font>
      <sz val="9"/>
      <color indexed="8"/>
      <name val="Arial"/>
      <family val="2"/>
    </font>
    <font>
      <sz val="9"/>
      <color indexed="56"/>
      <name val="Arial"/>
      <family val="2"/>
    </font>
    <font>
      <sz val="9"/>
      <color theme="0" tint="-0.14999847407452621"/>
      <name val="Arial"/>
      <family val="2"/>
    </font>
    <font>
      <b/>
      <sz val="9"/>
      <color indexed="63"/>
      <name val="Arial"/>
      <family val="2"/>
    </font>
    <font>
      <b/>
      <sz val="10"/>
      <name val="MS Sans Serif"/>
      <family val="2"/>
    </font>
    <font>
      <sz val="9"/>
      <color indexed="57"/>
      <name val="Arial"/>
      <family val="2"/>
    </font>
    <font>
      <b/>
      <u/>
      <sz val="9"/>
      <color indexed="63"/>
      <name val="Arial"/>
      <family val="2"/>
    </font>
    <font>
      <u/>
      <sz val="10"/>
      <color theme="10"/>
      <name val="Tahoma"/>
      <family val="2"/>
      <charset val="222"/>
      <scheme val="minor"/>
    </font>
    <font>
      <sz val="8"/>
      <color indexed="8"/>
      <name val="Arial"/>
      <family val="2"/>
    </font>
    <font>
      <u/>
      <sz val="8"/>
      <color indexed="12"/>
      <name val="Arial"/>
      <family val="2"/>
    </font>
    <font>
      <b/>
      <sz val="8"/>
      <color indexed="9"/>
      <name val="Arial"/>
      <family val="2"/>
    </font>
    <font>
      <b/>
      <sz val="9"/>
      <color theme="0"/>
      <name val="Arial"/>
      <family val="2"/>
    </font>
    <font>
      <sz val="9"/>
      <color indexed="9"/>
      <name val="Arial"/>
      <family val="2"/>
    </font>
    <font>
      <b/>
      <sz val="9"/>
      <name val="Arial"/>
      <family val="2"/>
    </font>
    <font>
      <sz val="11"/>
      <color indexed="8"/>
      <name val="Tahoma"/>
      <family val="2"/>
      <charset val="222"/>
    </font>
    <font>
      <sz val="9"/>
      <color theme="0"/>
      <name val="Arial"/>
      <family val="2"/>
    </font>
    <font>
      <u/>
      <sz val="9"/>
      <color indexed="12"/>
      <name val="Arial"/>
      <family val="2"/>
    </font>
    <font>
      <b/>
      <u/>
      <sz val="10"/>
      <color rgb="FF000000"/>
      <name val="Arial"/>
      <family val="2"/>
    </font>
    <font>
      <b/>
      <sz val="12"/>
      <color rgb="FF76933C"/>
      <name val="Arial"/>
      <family val="2"/>
    </font>
    <font>
      <b/>
      <sz val="11"/>
      <color theme="1"/>
      <name val="Tahoma"/>
      <family val="2"/>
      <charset val="222"/>
      <scheme val="minor"/>
    </font>
    <font>
      <sz val="8"/>
      <color theme="1"/>
      <name val="Arial"/>
      <family val="2"/>
    </font>
    <font>
      <b/>
      <sz val="9"/>
      <color indexed="63"/>
      <name val="Arial"/>
      <family val="2"/>
      <charset val="222"/>
    </font>
    <font>
      <b/>
      <sz val="8"/>
      <color rgb="FF76933C"/>
      <name val="Arial"/>
      <family val="2"/>
    </font>
    <font>
      <sz val="8"/>
      <color theme="1"/>
      <name val="Tahoma"/>
      <family val="2"/>
      <charset val="222"/>
      <scheme val="minor"/>
    </font>
    <font>
      <b/>
      <sz val="8"/>
      <color theme="1"/>
      <name val="Arial"/>
      <family val="2"/>
    </font>
    <font>
      <sz val="9"/>
      <color indexed="63"/>
      <name val="Arial"/>
      <family val="2"/>
      <charset val="222"/>
    </font>
    <font>
      <sz val="9"/>
      <name val="Arial"/>
      <family val="2"/>
      <charset val="222"/>
    </font>
    <font>
      <sz val="8"/>
      <name val="Tahoma"/>
      <family val="2"/>
      <charset val="222"/>
      <scheme val="minor"/>
    </font>
    <font>
      <vertAlign val="subscript"/>
      <sz val="9"/>
      <color theme="1"/>
      <name val="Arial"/>
      <family val="2"/>
    </font>
    <font>
      <sz val="10"/>
      <name val="Tahoma"/>
      <family val="2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i/>
      <sz val="8"/>
      <color rgb="FF333333"/>
      <name val="Arial"/>
      <family val="2"/>
    </font>
    <font>
      <i/>
      <sz val="8"/>
      <color rgb="FF000000"/>
      <name val="Arial"/>
      <family val="2"/>
    </font>
    <font>
      <b/>
      <sz val="10"/>
      <name val="Tahoma"/>
      <family val="2"/>
    </font>
    <font>
      <sz val="11"/>
      <color theme="1"/>
      <name val="Tahoma"/>
      <family val="2"/>
      <scheme val="minor"/>
    </font>
    <font>
      <b/>
      <sz val="8"/>
      <name val="Arial"/>
      <family val="2"/>
    </font>
    <font>
      <sz val="14"/>
      <name val="Cordia New"/>
      <family val="2"/>
    </font>
    <font>
      <b/>
      <sz val="12"/>
      <name val="Arial"/>
      <family val="2"/>
    </font>
    <font>
      <sz val="14"/>
      <name val="CordiaUPC"/>
      <family val="2"/>
    </font>
    <font>
      <sz val="14"/>
      <name val="CordiaUPC"/>
      <family val="2"/>
      <charset val="222"/>
    </font>
    <font>
      <sz val="9"/>
      <name val="Arial Unicode MS"/>
      <family val="2"/>
    </font>
    <font>
      <sz val="14"/>
      <name val="AngsanaUPC"/>
      <family val="1"/>
      <charset val="222"/>
    </font>
    <font>
      <sz val="7"/>
      <name val="Small Fonts"/>
      <family val="2"/>
    </font>
    <font>
      <b/>
      <i/>
      <sz val="16"/>
      <name val="Helv"/>
      <charset val="222"/>
    </font>
    <font>
      <b/>
      <sz val="11"/>
      <name val="Times New Roman"/>
      <family val="1"/>
    </font>
    <font>
      <i/>
      <sz val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  <charset val="222"/>
    </font>
    <font>
      <sz val="10"/>
      <color indexed="39"/>
      <name val="Arial"/>
      <family val="2"/>
    </font>
    <font>
      <b/>
      <i/>
      <sz val="16"/>
      <name val="Helv"/>
    </font>
    <font>
      <sz val="10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u/>
      <sz val="14"/>
      <color indexed="12"/>
      <name val="AngsanaUPC"/>
      <family val="1"/>
      <charset val="222"/>
    </font>
    <font>
      <u/>
      <sz val="14"/>
      <color indexed="36"/>
      <name val="AngsanaUPC"/>
      <family val="1"/>
      <charset val="222"/>
    </font>
    <font>
      <sz val="10"/>
      <color indexed="8"/>
      <name val="Trebuchet MS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sz val="12"/>
      <name val="Times New Roman"/>
      <family val="1"/>
    </font>
    <font>
      <b/>
      <sz val="6"/>
      <name val="Arial"/>
      <family val="2"/>
    </font>
    <font>
      <sz val="12"/>
      <name val="Tms Rmn"/>
      <family val="1"/>
    </font>
    <font>
      <sz val="12"/>
      <name val="¹ÙÅÁÃ¼"/>
      <family val="1"/>
    </font>
    <font>
      <sz val="10"/>
      <name val="Times New Roman"/>
      <family val="1"/>
    </font>
    <font>
      <sz val="10"/>
      <name val="Arial"/>
      <family val="2"/>
      <charset val="222"/>
    </font>
    <font>
      <sz val="11"/>
      <color indexed="8"/>
      <name val="Tahoma"/>
      <family val="2"/>
    </font>
    <font>
      <sz val="10"/>
      <color indexed="8"/>
      <name val="Century Gothic"/>
      <family val="2"/>
      <charset val="222"/>
    </font>
    <font>
      <sz val="10"/>
      <name val="Verdana"/>
      <family val="2"/>
    </font>
    <font>
      <sz val="10"/>
      <name val="Geneva"/>
      <family val="2"/>
    </font>
    <font>
      <sz val="14"/>
      <name val="AngsanaUPC"/>
      <family val="1"/>
    </font>
    <font>
      <b/>
      <i/>
      <sz val="16"/>
      <name val="Helvetica"/>
    </font>
    <font>
      <sz val="11"/>
      <color indexed="8"/>
      <name val="Trebuchet MS"/>
      <family val="2"/>
      <charset val="222"/>
    </font>
    <font>
      <sz val="10"/>
      <color indexed="8"/>
      <name val="MS Sans Serif"/>
      <family val="2"/>
    </font>
    <font>
      <i/>
      <sz val="10"/>
      <name val="Helvetica"/>
      <family val="2"/>
    </font>
    <font>
      <b/>
      <sz val="8"/>
      <color indexed="8"/>
      <name val="Comic Sans MS"/>
      <family val="4"/>
      <charset val="222"/>
    </font>
    <font>
      <sz val="8"/>
      <color indexed="8"/>
      <name val="Arial"/>
      <family val="2"/>
      <charset val="222"/>
    </font>
    <font>
      <i/>
      <sz val="8"/>
      <color indexed="8"/>
      <name val="Comic Sans MS"/>
      <family val="4"/>
      <charset val="222"/>
    </font>
    <font>
      <b/>
      <sz val="10"/>
      <color indexed="8"/>
      <name val="Comic Sans MS"/>
      <family val="4"/>
      <charset val="222"/>
    </font>
    <font>
      <b/>
      <sz val="14"/>
      <name val="Comic Sans MS"/>
      <family val="4"/>
      <charset val="222"/>
    </font>
    <font>
      <sz val="8"/>
      <color indexed="14"/>
      <name val="Comic Sans MS"/>
      <family val="4"/>
      <charset val="222"/>
    </font>
    <font>
      <b/>
      <sz val="10"/>
      <color indexed="18"/>
      <name val="Symbol"/>
      <family val="1"/>
      <charset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2"/>
      <name val="宋体"/>
      <charset val="134"/>
    </font>
    <font>
      <sz val="14"/>
      <name val="Cordia New"/>
      <family val="2"/>
      <charset val="222"/>
    </font>
    <font>
      <sz val="10"/>
      <color theme="1"/>
      <name val="Trebuchet MS"/>
      <family val="2"/>
      <charset val="222"/>
    </font>
    <font>
      <sz val="10"/>
      <color theme="0"/>
      <name val="Trebuchet MS"/>
      <family val="2"/>
      <charset val="222"/>
    </font>
    <font>
      <sz val="10"/>
      <color rgb="FF9C0006"/>
      <name val="Trebuchet MS"/>
      <family val="2"/>
      <charset val="222"/>
    </font>
    <font>
      <b/>
      <sz val="10"/>
      <color rgb="FFFA7D00"/>
      <name val="Trebuchet MS"/>
      <family val="2"/>
      <charset val="222"/>
    </font>
    <font>
      <b/>
      <sz val="10"/>
      <color theme="0"/>
      <name val="Trebuchet MS"/>
      <family val="2"/>
      <charset val="222"/>
    </font>
    <font>
      <i/>
      <sz val="10"/>
      <color rgb="FF7F7F7F"/>
      <name val="Trebuchet MS"/>
      <family val="2"/>
      <charset val="222"/>
    </font>
    <font>
      <sz val="10"/>
      <color rgb="FF006100"/>
      <name val="Trebuchet MS"/>
      <family val="2"/>
      <charset val="222"/>
    </font>
    <font>
      <b/>
      <sz val="15"/>
      <color theme="3"/>
      <name val="Trebuchet MS"/>
      <family val="2"/>
      <charset val="222"/>
    </font>
    <font>
      <b/>
      <sz val="13"/>
      <color theme="3"/>
      <name val="Trebuchet MS"/>
      <family val="2"/>
      <charset val="222"/>
    </font>
    <font>
      <b/>
      <sz val="11"/>
      <color theme="3"/>
      <name val="Trebuchet MS"/>
      <family val="2"/>
      <charset val="222"/>
    </font>
    <font>
      <sz val="10"/>
      <color rgb="FF3F3F76"/>
      <name val="Trebuchet MS"/>
      <family val="2"/>
      <charset val="222"/>
    </font>
    <font>
      <sz val="10"/>
      <color rgb="FFFA7D00"/>
      <name val="Trebuchet MS"/>
      <family val="2"/>
      <charset val="222"/>
    </font>
    <font>
      <sz val="11"/>
      <color rgb="FF9C6500"/>
      <name val="Tahoma"/>
      <family val="2"/>
      <charset val="222"/>
      <scheme val="minor"/>
    </font>
    <font>
      <sz val="10"/>
      <color rgb="FF9C6500"/>
      <name val="Trebuchet MS"/>
      <family val="2"/>
      <charset val="222"/>
    </font>
    <font>
      <sz val="10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sz val="10"/>
      <color theme="1"/>
      <name val="Century Gothic"/>
      <family val="2"/>
      <charset val="222"/>
    </font>
    <font>
      <b/>
      <sz val="10"/>
      <color rgb="FF3F3F3F"/>
      <name val="Trebuchet MS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0"/>
      <color theme="1"/>
      <name val="Trebuchet MS"/>
      <family val="2"/>
      <charset val="222"/>
    </font>
    <font>
      <sz val="10"/>
      <color rgb="FFFF0000"/>
      <name val="Trebuchet MS"/>
      <family val="2"/>
      <charset val="222"/>
    </font>
    <font>
      <i/>
      <sz val="9"/>
      <color rgb="FF000000"/>
      <name val="Arial"/>
      <family val="2"/>
    </font>
  </fonts>
  <fills count="87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4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31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3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2" fillId="0" borderId="0" applyFont="0" applyFill="0" applyBorder="0" applyAlignment="0" applyProtection="0"/>
    <xf numFmtId="0" fontId="4" fillId="0" borderId="0"/>
    <xf numFmtId="0" fontId="47" fillId="0" borderId="0" applyNumberFormat="0" applyFill="0" applyBorder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0" fillId="0" borderId="0" applyNumberFormat="0" applyFill="0" applyBorder="0" applyAlignment="0" applyProtection="0"/>
    <xf numFmtId="0" fontId="51" fillId="6" borderId="0" applyNumberFormat="0" applyBorder="0" applyAlignment="0" applyProtection="0"/>
    <xf numFmtId="0" fontId="52" fillId="7" borderId="0" applyNumberFormat="0" applyBorder="0" applyAlignment="0" applyProtection="0"/>
    <xf numFmtId="0" fontId="53" fillId="9" borderId="23" applyNumberFormat="0" applyAlignment="0" applyProtection="0"/>
    <xf numFmtId="0" fontId="54" fillId="10" borderId="24" applyNumberFormat="0" applyAlignment="0" applyProtection="0"/>
    <xf numFmtId="0" fontId="55" fillId="10" borderId="23" applyNumberFormat="0" applyAlignment="0" applyProtection="0"/>
    <xf numFmtId="0" fontId="56" fillId="0" borderId="25" applyNumberFormat="0" applyFill="0" applyAlignment="0" applyProtection="0"/>
    <xf numFmtId="0" fontId="57" fillId="11" borderId="26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7" fillId="0" borderId="28" applyNumberFormat="0" applyFill="0" applyAlignment="0" applyProtection="0"/>
    <xf numFmtId="0" fontId="6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6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6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1" fillId="0" borderId="0"/>
    <xf numFmtId="9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68" fillId="0" borderId="0" applyNumberFormat="0" applyFill="0" applyBorder="0" applyAlignment="0" applyProtection="0"/>
    <xf numFmtId="43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6" fillId="0" borderId="0"/>
    <xf numFmtId="193" fontId="4" fillId="0" borderId="0" applyNumberForma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193" fontId="110" fillId="86" borderId="54" applyNumberFormat="0" applyProtection="0">
      <alignment horizontal="left" vertical="center" wrapText="1" indent="1"/>
    </xf>
    <xf numFmtId="0" fontId="66" fillId="0" borderId="0"/>
    <xf numFmtId="0" fontId="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93" fontId="2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93" fontId="4" fillId="0" borderId="0" applyNumberFormat="0" applyFill="0" applyBorder="0" applyAlignment="0" applyProtection="0"/>
    <xf numFmtId="0" fontId="66" fillId="0" borderId="0"/>
    <xf numFmtId="193" fontId="47" fillId="0" borderId="0" applyNumberFormat="0" applyFill="0" applyBorder="0" applyAlignment="0" applyProtection="0"/>
    <xf numFmtId="193" fontId="4" fillId="0" borderId="0" applyNumberFormat="0" applyFill="0" applyBorder="0" applyAlignment="0" applyProtection="0"/>
    <xf numFmtId="193" fontId="47" fillId="0" borderId="0" applyNumberFormat="0" applyFill="0" applyBorder="0" applyAlignment="0" applyProtection="0"/>
    <xf numFmtId="193" fontId="47" fillId="0" borderId="0" applyNumberFormat="0" applyFill="0" applyBorder="0" applyAlignment="0" applyProtection="0"/>
    <xf numFmtId="0" fontId="66" fillId="0" borderId="0"/>
    <xf numFmtId="0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0" fontId="66" fillId="0" borderId="0"/>
    <xf numFmtId="193" fontId="22" fillId="0" borderId="0" applyNumberFormat="0" applyFill="0" applyBorder="0" applyAlignment="0" applyProtection="0"/>
    <xf numFmtId="193" fontId="4" fillId="0" borderId="0"/>
    <xf numFmtId="193" fontId="4" fillId="0" borderId="0"/>
    <xf numFmtId="193" fontId="4" fillId="0" borderId="0"/>
    <xf numFmtId="193" fontId="4" fillId="0" borderId="0"/>
    <xf numFmtId="193" fontId="22" fillId="0" borderId="0" applyNumberFormat="0" applyFill="0" applyBorder="0" applyAlignment="0" applyProtection="0"/>
    <xf numFmtId="193" fontId="22" fillId="0" borderId="0" applyNumberFormat="0" applyFill="0" applyBorder="0" applyAlignment="0" applyProtection="0"/>
    <xf numFmtId="193" fontId="95" fillId="0" borderId="0"/>
    <xf numFmtId="0" fontId="122" fillId="14" borderId="0" applyNumberFormat="0" applyBorder="0" applyAlignment="0" applyProtection="0"/>
    <xf numFmtId="193" fontId="32" fillId="40" borderId="0" applyNumberFormat="0" applyBorder="0" applyAlignment="0" applyProtection="0"/>
    <xf numFmtId="0" fontId="1" fillId="14" borderId="0" applyNumberFormat="0" applyBorder="0" applyAlignment="0" applyProtection="0"/>
    <xf numFmtId="0" fontId="122" fillId="18" borderId="0" applyNumberFormat="0" applyBorder="0" applyAlignment="0" applyProtection="0"/>
    <xf numFmtId="193" fontId="32" fillId="41" borderId="0" applyNumberFormat="0" applyBorder="0" applyAlignment="0" applyProtection="0"/>
    <xf numFmtId="0" fontId="1" fillId="18" borderId="0" applyNumberFormat="0" applyBorder="0" applyAlignment="0" applyProtection="0"/>
    <xf numFmtId="0" fontId="122" fillId="22" borderId="0" applyNumberFormat="0" applyBorder="0" applyAlignment="0" applyProtection="0"/>
    <xf numFmtId="193" fontId="32" fillId="42" borderId="0" applyNumberFormat="0" applyBorder="0" applyAlignment="0" applyProtection="0"/>
    <xf numFmtId="193" fontId="32" fillId="42" borderId="0" applyNumberFormat="0" applyBorder="0" applyAlignment="0" applyProtection="0"/>
    <xf numFmtId="0" fontId="1" fillId="22" borderId="0" applyNumberFormat="0" applyBorder="0" applyAlignment="0" applyProtection="0"/>
    <xf numFmtId="193" fontId="32" fillId="43" borderId="0" applyNumberFormat="0" applyBorder="0" applyAlignment="0" applyProtection="0"/>
    <xf numFmtId="0" fontId="122" fillId="26" borderId="0" applyNumberFormat="0" applyBorder="0" applyAlignment="0" applyProtection="0"/>
    <xf numFmtId="193" fontId="32" fillId="44" borderId="0" applyNumberFormat="0" applyBorder="0" applyAlignment="0" applyProtection="0"/>
    <xf numFmtId="0" fontId="1" fillId="26" borderId="0" applyNumberFormat="0" applyBorder="0" applyAlignment="0" applyProtection="0"/>
    <xf numFmtId="0" fontId="122" fillId="30" borderId="0" applyNumberFormat="0" applyBorder="0" applyAlignment="0" applyProtection="0"/>
    <xf numFmtId="193" fontId="32" fillId="45" borderId="0" applyNumberFormat="0" applyBorder="0" applyAlignment="0" applyProtection="0"/>
    <xf numFmtId="0" fontId="122" fillId="34" borderId="0" applyNumberFormat="0" applyBorder="0" applyAlignment="0" applyProtection="0"/>
    <xf numFmtId="193" fontId="32" fillId="46" borderId="0" applyNumberFormat="0" applyBorder="0" applyAlignment="0" applyProtection="0"/>
    <xf numFmtId="0" fontId="122" fillId="15" borderId="0" applyNumberFormat="0" applyBorder="0" applyAlignment="0" applyProtection="0"/>
    <xf numFmtId="193" fontId="32" fillId="47" borderId="0" applyNumberFormat="0" applyBorder="0" applyAlignment="0" applyProtection="0"/>
    <xf numFmtId="0" fontId="122" fillId="19" borderId="0" applyNumberFormat="0" applyBorder="0" applyAlignment="0" applyProtection="0"/>
    <xf numFmtId="193" fontId="32" fillId="48" borderId="0" applyNumberFormat="0" applyBorder="0" applyAlignment="0" applyProtection="0"/>
    <xf numFmtId="0" fontId="122" fillId="23" borderId="0" applyNumberFormat="0" applyBorder="0" applyAlignment="0" applyProtection="0"/>
    <xf numFmtId="193" fontId="32" fillId="49" borderId="0" applyNumberFormat="0" applyBorder="0" applyAlignment="0" applyProtection="0"/>
    <xf numFmtId="0" fontId="1" fillId="23" borderId="0" applyNumberFormat="0" applyBorder="0" applyAlignment="0" applyProtection="0"/>
    <xf numFmtId="0" fontId="122" fillId="27" borderId="0" applyNumberFormat="0" applyBorder="0" applyAlignment="0" applyProtection="0"/>
    <xf numFmtId="193" fontId="32" fillId="44" borderId="0" applyNumberFormat="0" applyBorder="0" applyAlignment="0" applyProtection="0"/>
    <xf numFmtId="0" fontId="122" fillId="31" borderId="0" applyNumberFormat="0" applyBorder="0" applyAlignment="0" applyProtection="0"/>
    <xf numFmtId="193" fontId="32" fillId="47" borderId="0" applyNumberFormat="0" applyBorder="0" applyAlignment="0" applyProtection="0"/>
    <xf numFmtId="0" fontId="122" fillId="35" borderId="0" applyNumberFormat="0" applyBorder="0" applyAlignment="0" applyProtection="0"/>
    <xf numFmtId="193" fontId="32" fillId="50" borderId="0" applyNumberFormat="0" applyBorder="0" applyAlignment="0" applyProtection="0"/>
    <xf numFmtId="0" fontId="60" fillId="16" borderId="0" applyNumberFormat="0" applyBorder="0" applyAlignment="0" applyProtection="0"/>
    <xf numFmtId="0" fontId="123" fillId="16" borderId="0" applyNumberFormat="0" applyBorder="0" applyAlignment="0" applyProtection="0"/>
    <xf numFmtId="193" fontId="87" fillId="51" borderId="0" applyNumberFormat="0" applyBorder="0" applyAlignment="0" applyProtection="0"/>
    <xf numFmtId="0" fontId="60" fillId="20" borderId="0" applyNumberFormat="0" applyBorder="0" applyAlignment="0" applyProtection="0"/>
    <xf numFmtId="0" fontId="123" fillId="20" borderId="0" applyNumberFormat="0" applyBorder="0" applyAlignment="0" applyProtection="0"/>
    <xf numFmtId="193" fontId="87" fillId="48" borderId="0" applyNumberFormat="0" applyBorder="0" applyAlignment="0" applyProtection="0"/>
    <xf numFmtId="0" fontId="60" fillId="24" borderId="0" applyNumberFormat="0" applyBorder="0" applyAlignment="0" applyProtection="0"/>
    <xf numFmtId="0" fontId="123" fillId="24" borderId="0" applyNumberFormat="0" applyBorder="0" applyAlignment="0" applyProtection="0"/>
    <xf numFmtId="193" fontId="87" fillId="49" borderId="0" applyNumberFormat="0" applyBorder="0" applyAlignment="0" applyProtection="0"/>
    <xf numFmtId="0" fontId="60" fillId="24" borderId="0" applyNumberFormat="0" applyBorder="0" applyAlignment="0" applyProtection="0"/>
    <xf numFmtId="0" fontId="60" fillId="28" borderId="0" applyNumberFormat="0" applyBorder="0" applyAlignment="0" applyProtection="0"/>
    <xf numFmtId="0" fontId="123" fillId="28" borderId="0" applyNumberFormat="0" applyBorder="0" applyAlignment="0" applyProtection="0"/>
    <xf numFmtId="193" fontId="87" fillId="52" borderId="0" applyNumberFormat="0" applyBorder="0" applyAlignment="0" applyProtection="0"/>
    <xf numFmtId="0" fontId="60" fillId="28" borderId="0" applyNumberFormat="0" applyBorder="0" applyAlignment="0" applyProtection="0"/>
    <xf numFmtId="0" fontId="60" fillId="32" borderId="0" applyNumberFormat="0" applyBorder="0" applyAlignment="0" applyProtection="0"/>
    <xf numFmtId="0" fontId="123" fillId="32" borderId="0" applyNumberFormat="0" applyBorder="0" applyAlignment="0" applyProtection="0"/>
    <xf numFmtId="193" fontId="87" fillId="53" borderId="0" applyNumberFormat="0" applyBorder="0" applyAlignment="0" applyProtection="0"/>
    <xf numFmtId="0" fontId="60" fillId="36" borderId="0" applyNumberFormat="0" applyBorder="0" applyAlignment="0" applyProtection="0"/>
    <xf numFmtId="0" fontId="123" fillId="36" borderId="0" applyNumberFormat="0" applyBorder="0" applyAlignment="0" applyProtection="0"/>
    <xf numFmtId="193" fontId="87" fillId="54" borderId="0" applyNumberFormat="0" applyBorder="0" applyAlignment="0" applyProtection="0"/>
    <xf numFmtId="0" fontId="60" fillId="36" borderId="0" applyNumberFormat="0" applyBorder="0" applyAlignment="0" applyProtection="0"/>
    <xf numFmtId="0" fontId="123" fillId="13" borderId="0" applyNumberFormat="0" applyBorder="0" applyAlignment="0" applyProtection="0"/>
    <xf numFmtId="193" fontId="87" fillId="55" borderId="0" applyNumberFormat="0" applyBorder="0" applyAlignment="0" applyProtection="0"/>
    <xf numFmtId="0" fontId="123" fillId="17" borderId="0" applyNumberFormat="0" applyBorder="0" applyAlignment="0" applyProtection="0"/>
    <xf numFmtId="193" fontId="87" fillId="56" borderId="0" applyNumberFormat="0" applyBorder="0" applyAlignment="0" applyProtection="0"/>
    <xf numFmtId="0" fontId="123" fillId="21" borderId="0" applyNumberFormat="0" applyBorder="0" applyAlignment="0" applyProtection="0"/>
    <xf numFmtId="193" fontId="87" fillId="57" borderId="0" applyNumberFormat="0" applyBorder="0" applyAlignment="0" applyProtection="0"/>
    <xf numFmtId="0" fontId="123" fillId="25" borderId="0" applyNumberFormat="0" applyBorder="0" applyAlignment="0" applyProtection="0"/>
    <xf numFmtId="193" fontId="87" fillId="52" borderId="0" applyNumberFormat="0" applyBorder="0" applyAlignment="0" applyProtection="0"/>
    <xf numFmtId="0" fontId="123" fillId="29" borderId="0" applyNumberFormat="0" applyBorder="0" applyAlignment="0" applyProtection="0"/>
    <xf numFmtId="193" fontId="87" fillId="53" borderId="0" applyNumberFormat="0" applyBorder="0" applyAlignment="0" applyProtection="0"/>
    <xf numFmtId="0" fontId="123" fillId="33" borderId="0" applyNumberFormat="0" applyBorder="0" applyAlignment="0" applyProtection="0"/>
    <xf numFmtId="193" fontId="87" fillId="58" borderId="0" applyNumberFormat="0" applyBorder="0" applyAlignment="0" applyProtection="0"/>
    <xf numFmtId="193" fontId="96" fillId="0" borderId="29" applyNumberFormat="0" applyFill="0" applyBorder="0" applyAlignment="0" applyProtection="0"/>
    <xf numFmtId="193" fontId="96" fillId="0" borderId="29" applyNumberFormat="0" applyFill="0" applyBorder="0" applyAlignment="0" applyProtection="0"/>
    <xf numFmtId="193" fontId="96" fillId="0" borderId="29" applyNumberFormat="0" applyFill="0" applyBorder="0" applyAlignment="0" applyProtection="0"/>
    <xf numFmtId="193" fontId="96" fillId="0" borderId="29" applyNumberFormat="0" applyFill="0" applyBorder="0" applyAlignment="0" applyProtection="0"/>
    <xf numFmtId="193" fontId="65" fillId="0" borderId="29" applyNumberFormat="0" applyFill="0" applyBorder="0" applyAlignment="0" applyProtection="0"/>
    <xf numFmtId="193" fontId="65" fillId="0" borderId="29" applyNumberFormat="0" applyFill="0" applyBorder="0" applyAlignment="0" applyProtection="0"/>
    <xf numFmtId="193" fontId="65" fillId="0" borderId="29" applyNumberFormat="0" applyFill="0" applyBorder="0" applyAlignment="0" applyProtection="0"/>
    <xf numFmtId="193" fontId="65" fillId="0" borderId="29" applyNumberFormat="0" applyFill="0" applyBorder="0" applyAlignment="0" applyProtection="0"/>
    <xf numFmtId="193" fontId="75" fillId="0" borderId="29" applyNumberFormat="0" applyFill="0" applyBorder="0" applyAlignment="0" applyProtection="0"/>
    <xf numFmtId="193" fontId="75" fillId="0" borderId="29" applyNumberFormat="0" applyFill="0" applyBorder="0" applyAlignment="0" applyProtection="0"/>
    <xf numFmtId="193" fontId="75" fillId="0" borderId="29" applyNumberFormat="0" applyFill="0" applyBorder="0" applyAlignment="0" applyProtection="0"/>
    <xf numFmtId="193" fontId="75" fillId="0" borderId="29" applyNumberFormat="0" applyFill="0" applyBorder="0" applyAlignment="0" applyProtection="0"/>
    <xf numFmtId="193" fontId="8" fillId="0" borderId="29" applyNumberFormat="0" applyFill="0" applyAlignment="0" applyProtection="0"/>
    <xf numFmtId="193" fontId="8" fillId="0" borderId="29" applyNumberFormat="0" applyFill="0" applyAlignment="0" applyProtection="0"/>
    <xf numFmtId="0" fontId="124" fillId="7" borderId="0" applyNumberFormat="0" applyBorder="0" applyAlignment="0" applyProtection="0"/>
    <xf numFmtId="193" fontId="88" fillId="41" borderId="0" applyNumberFormat="0" applyBorder="0" applyAlignment="0" applyProtection="0"/>
    <xf numFmtId="193" fontId="97" fillId="0" borderId="0" applyNumberFormat="0" applyFill="0" applyBorder="0" applyAlignment="0" applyProtection="0"/>
    <xf numFmtId="193" fontId="98" fillId="0" borderId="0"/>
    <xf numFmtId="0" fontId="125" fillId="10" borderId="23" applyNumberFormat="0" applyAlignment="0" applyProtection="0"/>
    <xf numFmtId="193" fontId="89" fillId="59" borderId="30" applyNumberFormat="0" applyAlignment="0" applyProtection="0"/>
    <xf numFmtId="193" fontId="89" fillId="59" borderId="30" applyNumberFormat="0" applyAlignment="0" applyProtection="0"/>
    <xf numFmtId="0" fontId="126" fillId="11" borderId="26" applyNumberFormat="0" applyAlignment="0" applyProtection="0"/>
    <xf numFmtId="193" fontId="90" fillId="60" borderId="31" applyNumberFormat="0" applyAlignment="0" applyProtection="0"/>
    <xf numFmtId="43" fontId="66" fillId="0" borderId="0" applyFont="0" applyFill="0" applyBorder="0" applyAlignment="0" applyProtection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202" fontId="99" fillId="0" borderId="0"/>
    <xf numFmtId="43" fontId="32" fillId="0" borderId="0" applyFont="0" applyFill="0" applyBorder="0" applyAlignment="0" applyProtection="0"/>
    <xf numFmtId="203" fontId="100" fillId="0" borderId="0" applyFill="0" applyBorder="0" applyAlignment="0" applyProtection="0"/>
    <xf numFmtId="43" fontId="32" fillId="0" borderId="0" applyFont="0" applyFill="0" applyBorder="0" applyAlignment="0" applyProtection="0"/>
    <xf numFmtId="203" fontId="100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4" fontId="7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94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95" fontId="69" fillId="0" borderId="0"/>
    <xf numFmtId="204" fontId="68" fillId="0" borderId="0"/>
    <xf numFmtId="205" fontId="104" fillId="0" borderId="0" applyFont="0" applyFill="0" applyBorder="0" applyAlignment="0" applyProtection="0"/>
    <xf numFmtId="205" fontId="104" fillId="0" borderId="0" applyFont="0" applyFill="0" applyBorder="0" applyAlignment="0" applyProtection="0"/>
    <xf numFmtId="193" fontId="105" fillId="0" borderId="0" applyFont="0" applyFill="0" applyBorder="0" applyAlignment="0" applyProtection="0"/>
    <xf numFmtId="193" fontId="10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1" fillId="0" borderId="0" applyFont="0" applyFill="0" applyBorder="0" applyAlignment="0" applyProtection="0"/>
    <xf numFmtId="44" fontId="103" fillId="0" borderId="0" applyFont="0" applyFill="0" applyBorder="0" applyAlignment="0" applyProtection="0"/>
    <xf numFmtId="196" fontId="71" fillId="0" borderId="0"/>
    <xf numFmtId="196" fontId="105" fillId="0" borderId="0"/>
    <xf numFmtId="188" fontId="71" fillId="0" borderId="0"/>
    <xf numFmtId="188" fontId="105" fillId="0" borderId="0"/>
    <xf numFmtId="193" fontId="8" fillId="61" borderId="32"/>
    <xf numFmtId="193" fontId="8" fillId="61" borderId="32"/>
    <xf numFmtId="0" fontId="127" fillId="0" borderId="0" applyNumberFormat="0" applyFill="0" applyBorder="0" applyAlignment="0" applyProtection="0"/>
    <xf numFmtId="206" fontId="4" fillId="0" borderId="0" applyBorder="0" applyProtection="0"/>
    <xf numFmtId="206" fontId="4" fillId="0" borderId="0" applyBorder="0" applyProtection="0"/>
    <xf numFmtId="0" fontId="78" fillId="0" borderId="0"/>
    <xf numFmtId="193" fontId="78" fillId="0" borderId="0"/>
    <xf numFmtId="193" fontId="78" fillId="0" borderId="0"/>
    <xf numFmtId="0" fontId="128" fillId="6" borderId="0" applyNumberFormat="0" applyBorder="0" applyAlignment="0" applyProtection="0"/>
    <xf numFmtId="193" fontId="91" fillId="43" borderId="0" applyNumberFormat="0" applyBorder="0" applyAlignment="0" applyProtection="0"/>
    <xf numFmtId="38" fontId="8" fillId="62" borderId="0" applyNumberFormat="0" applyBorder="0" applyAlignment="0" applyProtection="0"/>
    <xf numFmtId="193" fontId="8" fillId="63" borderId="0" applyNumberFormat="0" applyBorder="0" applyAlignment="0" applyProtection="0"/>
    <xf numFmtId="193" fontId="8" fillId="63" borderId="0" applyNumberFormat="0" applyBorder="0" applyAlignment="0" applyProtection="0"/>
    <xf numFmtId="193" fontId="67" fillId="0" borderId="33" applyNumberFormat="0" applyAlignment="0" applyProtection="0">
      <alignment horizontal="left" vertical="center"/>
    </xf>
    <xf numFmtId="193" fontId="67" fillId="0" borderId="33" applyNumberFormat="0" applyAlignment="0" applyProtection="0">
      <alignment horizontal="left" vertical="center"/>
    </xf>
    <xf numFmtId="193" fontId="67" fillId="0" borderId="34">
      <alignment horizontal="left" vertical="center"/>
    </xf>
    <xf numFmtId="193" fontId="67" fillId="0" borderId="34">
      <alignment horizontal="left" vertical="center"/>
    </xf>
    <xf numFmtId="0" fontId="129" fillId="0" borderId="20" applyNumberFormat="0" applyFill="0" applyAlignment="0" applyProtection="0"/>
    <xf numFmtId="0" fontId="130" fillId="0" borderId="21" applyNumberFormat="0" applyFill="0" applyAlignment="0" applyProtection="0"/>
    <xf numFmtId="0" fontId="131" fillId="0" borderId="22" applyNumberFormat="0" applyFill="0" applyAlignment="0" applyProtection="0"/>
    <xf numFmtId="0" fontId="131" fillId="0" borderId="0" applyNumberFormat="0" applyFill="0" applyBorder="0" applyAlignment="0" applyProtection="0"/>
    <xf numFmtId="9" fontId="64" fillId="0" borderId="0" applyFont="0" applyFill="0" applyBorder="0" applyAlignment="0" applyProtection="0"/>
    <xf numFmtId="10" fontId="8" fillId="64" borderId="32" applyNumberFormat="0" applyBorder="0" applyAlignment="0" applyProtection="0"/>
    <xf numFmtId="193" fontId="8" fillId="65" borderId="0" applyNumberFormat="0" applyBorder="0" applyAlignment="0" applyProtection="0"/>
    <xf numFmtId="193" fontId="8" fillId="65" borderId="0" applyNumberFormat="0" applyBorder="0" applyAlignment="0" applyProtection="0"/>
    <xf numFmtId="0" fontId="132" fillId="9" borderId="23" applyNumberFormat="0" applyAlignment="0" applyProtection="0"/>
    <xf numFmtId="193" fontId="92" fillId="46" borderId="30" applyNumberFormat="0" applyAlignment="0" applyProtection="0"/>
    <xf numFmtId="193" fontId="92" fillId="46" borderId="30" applyNumberFormat="0" applyAlignment="0" applyProtection="0"/>
    <xf numFmtId="207" fontId="99" fillId="0" borderId="0" applyNumberFormat="0" applyAlignment="0">
      <alignment horizontal="left"/>
    </xf>
    <xf numFmtId="207" fontId="99" fillId="0" borderId="0" applyNumberFormat="0" applyAlignment="0">
      <alignment horizontal="left"/>
    </xf>
    <xf numFmtId="0" fontId="133" fillId="0" borderId="25" applyNumberFormat="0" applyFill="0" applyAlignment="0" applyProtection="0"/>
    <xf numFmtId="0" fontId="134" fillId="8" borderId="0" applyNumberFormat="0" applyBorder="0" applyAlignment="0" applyProtection="0"/>
    <xf numFmtId="0" fontId="135" fillId="8" borderId="0" applyNumberFormat="0" applyBorder="0" applyAlignment="0" applyProtection="0"/>
    <xf numFmtId="193" fontId="93" fillId="66" borderId="0" applyNumberFormat="0" applyBorder="0" applyAlignment="0" applyProtection="0"/>
    <xf numFmtId="37" fontId="72" fillId="0" borderId="0"/>
    <xf numFmtId="197" fontId="73" fillId="0" borderId="0"/>
    <xf numFmtId="197" fontId="80" fillId="0" borderId="0"/>
    <xf numFmtId="197" fontId="106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43" fontId="4" fillId="0" borderId="0"/>
    <xf numFmtId="4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4" fillId="0" borderId="0"/>
    <xf numFmtId="19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66" fillId="0" borderId="0" applyNumberFormat="0" applyFill="0" applyBorder="0" applyAlignment="0" applyProtection="0"/>
    <xf numFmtId="193" fontId="1" fillId="0" borderId="0"/>
    <xf numFmtId="193" fontId="1" fillId="0" borderId="0"/>
    <xf numFmtId="193" fontId="1" fillId="0" borderId="0"/>
    <xf numFmtId="193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4" fillId="0" borderId="0"/>
    <xf numFmtId="193" fontId="1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4" fillId="0" borderId="0"/>
    <xf numFmtId="19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8" fillId="0" borderId="0" applyNumberFormat="0" applyFill="0" applyBorder="0" applyAlignment="0" applyProtection="0"/>
    <xf numFmtId="0" fontId="1" fillId="0" borderId="0"/>
    <xf numFmtId="193" fontId="4" fillId="0" borderId="0"/>
    <xf numFmtId="0" fontId="70" fillId="0" borderId="0" applyNumberFormat="0" applyFill="0" applyBorder="0" applyAlignment="0" applyProtection="0"/>
    <xf numFmtId="193" fontId="66" fillId="0" borderId="0" applyNumberFormat="0" applyFill="0" applyBorder="0" applyAlignment="0" applyProtection="0"/>
    <xf numFmtId="193" fontId="4" fillId="0" borderId="0"/>
    <xf numFmtId="193" fontId="4" fillId="0" borderId="0" applyNumberFormat="0" applyFill="0" applyBorder="0" applyAlignment="0" applyProtection="0"/>
    <xf numFmtId="0" fontId="100" fillId="0" borderId="0"/>
    <xf numFmtId="0" fontId="1" fillId="0" borderId="0"/>
    <xf numFmtId="193" fontId="86" fillId="0" borderId="0"/>
    <xf numFmtId="0" fontId="4" fillId="0" borderId="0"/>
    <xf numFmtId="193" fontId="1" fillId="0" borderId="0"/>
    <xf numFmtId="193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6" fillId="0" borderId="0"/>
    <xf numFmtId="0" fontId="4" fillId="0" borderId="0"/>
    <xf numFmtId="193" fontId="1" fillId="0" borderId="0"/>
    <xf numFmtId="193" fontId="1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" fillId="0" borderId="0"/>
    <xf numFmtId="193" fontId="1" fillId="0" borderId="0"/>
    <xf numFmtId="0" fontId="4" fillId="0" borderId="0"/>
    <xf numFmtId="193" fontId="1" fillId="0" borderId="0"/>
    <xf numFmtId="193" fontId="1" fillId="0" borderId="0"/>
    <xf numFmtId="0" fontId="1" fillId="0" borderId="0"/>
    <xf numFmtId="0" fontId="8" fillId="0" borderId="0"/>
    <xf numFmtId="193" fontId="100" fillId="0" borderId="0"/>
    <xf numFmtId="193" fontId="10" fillId="0" borderId="0"/>
    <xf numFmtId="193" fontId="1" fillId="0" borderId="0"/>
    <xf numFmtId="193" fontId="4" fillId="0" borderId="0" applyNumberFormat="0" applyFill="0" applyBorder="0" applyAlignment="0" applyProtection="0"/>
    <xf numFmtId="193" fontId="4" fillId="0" borderId="0" applyNumberFormat="0" applyFill="0" applyBorder="0" applyAlignment="0" applyProtection="0"/>
    <xf numFmtId="193" fontId="10" fillId="0" borderId="0"/>
    <xf numFmtId="193" fontId="1" fillId="0" borderId="0"/>
    <xf numFmtId="193" fontId="66" fillId="0" borderId="0"/>
    <xf numFmtId="0" fontId="1" fillId="0" borderId="0"/>
    <xf numFmtId="0" fontId="66" fillId="0" borderId="0"/>
    <xf numFmtId="193" fontId="107" fillId="0" borderId="0"/>
    <xf numFmtId="0" fontId="4" fillId="0" borderId="0"/>
    <xf numFmtId="193" fontId="1" fillId="0" borderId="0"/>
    <xf numFmtId="193" fontId="1" fillId="0" borderId="0"/>
    <xf numFmtId="0" fontId="4" fillId="0" borderId="0"/>
    <xf numFmtId="193" fontId="1" fillId="0" borderId="0"/>
    <xf numFmtId="193" fontId="1" fillId="0" borderId="0"/>
    <xf numFmtId="0" fontId="4" fillId="0" borderId="0"/>
    <xf numFmtId="193" fontId="1" fillId="0" borderId="0"/>
    <xf numFmtId="0" fontId="4" fillId="0" borderId="0"/>
    <xf numFmtId="193" fontId="4" fillId="0" borderId="0"/>
    <xf numFmtId="0" fontId="4" fillId="0" borderId="0"/>
    <xf numFmtId="0" fontId="1" fillId="0" borderId="0"/>
    <xf numFmtId="0" fontId="4" fillId="0" borderId="0"/>
    <xf numFmtId="193" fontId="4" fillId="0" borderId="0"/>
    <xf numFmtId="0" fontId="4" fillId="0" borderId="0"/>
    <xf numFmtId="193" fontId="4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1" fillId="0" borderId="0"/>
    <xf numFmtId="0" fontId="1" fillId="0" borderId="0"/>
    <xf numFmtId="193" fontId="1" fillId="0" borderId="0"/>
    <xf numFmtId="193" fontId="47" fillId="0" borderId="0" applyNumberFormat="0" applyFill="0" applyBorder="0" applyAlignment="0" applyProtection="0"/>
    <xf numFmtId="0" fontId="1" fillId="0" borderId="0"/>
    <xf numFmtId="0" fontId="66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137" fillId="0" borderId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137" fillId="0" borderId="0"/>
    <xf numFmtId="0" fontId="4" fillId="0" borderId="0"/>
    <xf numFmtId="193" fontId="137" fillId="0" borderId="0"/>
    <xf numFmtId="0" fontId="1" fillId="0" borderId="0"/>
    <xf numFmtId="193" fontId="1" fillId="0" borderId="0"/>
    <xf numFmtId="193" fontId="1" fillId="0" borderId="0"/>
    <xf numFmtId="193" fontId="4" fillId="0" borderId="0"/>
    <xf numFmtId="0" fontId="138" fillId="0" borderId="0"/>
    <xf numFmtId="193" fontId="4" fillId="0" borderId="0"/>
    <xf numFmtId="0" fontId="4" fillId="0" borderId="0"/>
    <xf numFmtId="193" fontId="137" fillId="0" borderId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4" fillId="0" borderId="0" applyNumberFormat="0" applyFill="0" applyBorder="0" applyAlignment="0" applyProtection="0"/>
    <xf numFmtId="0" fontId="4" fillId="0" borderId="0"/>
    <xf numFmtId="193" fontId="4" fillId="0" borderId="0"/>
    <xf numFmtId="0" fontId="4" fillId="0" borderId="0"/>
    <xf numFmtId="193" fontId="4" fillId="0" borderId="0"/>
    <xf numFmtId="0" fontId="4" fillId="0" borderId="0"/>
    <xf numFmtId="193" fontId="4" fillId="0" borderId="0"/>
    <xf numFmtId="0" fontId="4" fillId="0" borderId="0"/>
    <xf numFmtId="193" fontId="137" fillId="0" borderId="0"/>
    <xf numFmtId="0" fontId="4" fillId="0" borderId="0"/>
    <xf numFmtId="193" fontId="4" fillId="0" borderId="0"/>
    <xf numFmtId="0" fontId="4" fillId="0" borderId="0"/>
    <xf numFmtId="193" fontId="1" fillId="0" borderId="0"/>
    <xf numFmtId="0" fontId="138" fillId="0" borderId="0"/>
    <xf numFmtId="0" fontId="4" fillId="0" borderId="0"/>
    <xf numFmtId="193" fontId="103" fillId="0" borderId="0" applyNumberFormat="0" applyFill="0" applyBorder="0" applyAlignment="0" applyProtection="0"/>
    <xf numFmtId="0" fontId="4" fillId="0" borderId="0"/>
    <xf numFmtId="193" fontId="103" fillId="0" borderId="0" applyNumberFormat="0" applyFill="0" applyBorder="0" applyAlignment="0" applyProtection="0"/>
    <xf numFmtId="0" fontId="1" fillId="0" borderId="0"/>
    <xf numFmtId="193" fontId="4" fillId="0" borderId="0"/>
    <xf numFmtId="0" fontId="1" fillId="0" borderId="0"/>
    <xf numFmtId="193" fontId="4" fillId="0" borderId="0"/>
    <xf numFmtId="0" fontId="1" fillId="0" borderId="0"/>
    <xf numFmtId="193" fontId="4" fillId="0" borderId="0"/>
    <xf numFmtId="0" fontId="1" fillId="0" borderId="0"/>
    <xf numFmtId="193" fontId="4" fillId="0" borderId="0"/>
    <xf numFmtId="0" fontId="1" fillId="0" borderId="0"/>
    <xf numFmtId="0" fontId="138" fillId="0" borderId="0"/>
    <xf numFmtId="0" fontId="1" fillId="0" borderId="0"/>
    <xf numFmtId="0" fontId="138" fillId="0" borderId="0"/>
    <xf numFmtId="0" fontId="1" fillId="0" borderId="0"/>
    <xf numFmtId="0" fontId="138" fillId="0" borderId="0"/>
    <xf numFmtId="0" fontId="1" fillId="0" borderId="0"/>
    <xf numFmtId="0" fontId="138" fillId="0" borderId="0"/>
    <xf numFmtId="0" fontId="1" fillId="0" borderId="0"/>
    <xf numFmtId="193" fontId="4" fillId="0" borderId="0"/>
    <xf numFmtId="193" fontId="4" fillId="0" borderId="0"/>
    <xf numFmtId="193" fontId="71" fillId="0" borderId="0"/>
    <xf numFmtId="0" fontId="1" fillId="0" borderId="0"/>
    <xf numFmtId="0" fontId="138" fillId="0" borderId="0"/>
    <xf numFmtId="0" fontId="1" fillId="0" borderId="0"/>
    <xf numFmtId="0" fontId="138" fillId="0" borderId="0"/>
    <xf numFmtId="0" fontId="1" fillId="0" borderId="0"/>
    <xf numFmtId="0" fontId="1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3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08" fillId="0" borderId="0"/>
    <xf numFmtId="0" fontId="86" fillId="12" borderId="27" applyNumberFormat="0" applyFont="0" applyAlignment="0" applyProtection="0"/>
    <xf numFmtId="193" fontId="22" fillId="65" borderId="35" applyNumberFormat="0" applyAlignment="0" applyProtection="0"/>
    <xf numFmtId="193" fontId="22" fillId="65" borderId="35" applyNumberFormat="0" applyAlignment="0" applyProtection="0"/>
    <xf numFmtId="0" fontId="1" fillId="12" borderId="27" applyNumberFormat="0" applyFont="0" applyAlignment="0" applyProtection="0"/>
    <xf numFmtId="0" fontId="32" fillId="12" borderId="27" applyNumberFormat="0" applyFont="0" applyAlignment="0" applyProtection="0"/>
    <xf numFmtId="0" fontId="1" fillId="12" borderId="27" applyNumberFormat="0" applyFont="0" applyAlignment="0" applyProtection="0"/>
    <xf numFmtId="0" fontId="139" fillId="10" borderId="24" applyNumberFormat="0" applyAlignment="0" applyProtection="0"/>
    <xf numFmtId="193" fontId="94" fillId="59" borderId="36" applyNumberFormat="0" applyAlignment="0" applyProtection="0"/>
    <xf numFmtId="193" fontId="94" fillId="59" borderId="36" applyNumberFormat="0" applyAlignment="0" applyProtection="0"/>
    <xf numFmtId="188" fontId="109" fillId="0" borderId="0" applyFill="0" applyBorder="0" applyProtection="0">
      <alignment vertical="top"/>
    </xf>
    <xf numFmtId="9" fontId="66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100" fillId="0" borderId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00" fillId="0" borderId="0" applyFill="0" applyBorder="0" applyAlignment="0" applyProtection="0"/>
    <xf numFmtId="9" fontId="4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93" fontId="8" fillId="62" borderId="32"/>
    <xf numFmtId="193" fontId="8" fillId="62" borderId="32"/>
    <xf numFmtId="1" fontId="4" fillId="0" borderId="17" applyNumberFormat="0" applyFill="0" applyAlignment="0" applyProtection="0">
      <alignment horizontal="center" vertical="center"/>
    </xf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193" fontId="4" fillId="0" borderId="37" applyNumberFormat="0" applyFill="0" applyAlignment="0" applyProtection="0"/>
    <xf numFmtId="4" fontId="81" fillId="67" borderId="36" applyNumberFormat="0" applyProtection="0">
      <alignment vertical="center"/>
    </xf>
    <xf numFmtId="4" fontId="79" fillId="67" borderId="36" applyNumberFormat="0" applyProtection="0">
      <alignment vertical="center"/>
    </xf>
    <xf numFmtId="4" fontId="81" fillId="67" borderId="36" applyNumberFormat="0" applyProtection="0">
      <alignment horizontal="left" vertical="center" indent="1"/>
    </xf>
    <xf numFmtId="4" fontId="81" fillId="67" borderId="36" applyNumberFormat="0" applyProtection="0">
      <alignment horizontal="left" vertical="center" indent="1"/>
    </xf>
    <xf numFmtId="0" fontId="4" fillId="68" borderId="36" applyNumberFormat="0" applyProtection="0">
      <alignment horizontal="left" vertical="center" indent="1"/>
    </xf>
    <xf numFmtId="193" fontId="110" fillId="69" borderId="0" applyNumberFormat="0" applyProtection="0">
      <alignment horizontal="left" vertical="center" wrapText="1" indent="1"/>
    </xf>
    <xf numFmtId="193" fontId="110" fillId="69" borderId="0" applyNumberFormat="0" applyProtection="0">
      <alignment horizontal="left" vertical="center" wrapText="1" indent="1"/>
    </xf>
    <xf numFmtId="4" fontId="81" fillId="70" borderId="36" applyNumberFormat="0" applyProtection="0">
      <alignment horizontal="right" vertical="center"/>
    </xf>
    <xf numFmtId="4" fontId="81" fillId="71" borderId="36" applyNumberFormat="0" applyProtection="0">
      <alignment horizontal="right" vertical="center"/>
    </xf>
    <xf numFmtId="4" fontId="81" fillId="72" borderId="36" applyNumberFormat="0" applyProtection="0">
      <alignment horizontal="right" vertical="center"/>
    </xf>
    <xf numFmtId="4" fontId="81" fillId="39" borderId="36" applyNumberFormat="0" applyProtection="0">
      <alignment horizontal="right" vertical="center"/>
    </xf>
    <xf numFmtId="4" fontId="81" fillId="73" borderId="36" applyNumberFormat="0" applyProtection="0">
      <alignment horizontal="right" vertical="center"/>
    </xf>
    <xf numFmtId="4" fontId="81" fillId="74" borderId="36" applyNumberFormat="0" applyProtection="0">
      <alignment horizontal="right" vertical="center"/>
    </xf>
    <xf numFmtId="4" fontId="81" fillId="75" borderId="36" applyNumberFormat="0" applyProtection="0">
      <alignment horizontal="right" vertical="center"/>
    </xf>
    <xf numFmtId="4" fontId="81" fillId="76" borderId="36" applyNumberFormat="0" applyProtection="0">
      <alignment horizontal="right" vertical="center"/>
    </xf>
    <xf numFmtId="4" fontId="81" fillId="77" borderId="36" applyNumberFormat="0" applyProtection="0">
      <alignment horizontal="right" vertical="center"/>
    </xf>
    <xf numFmtId="4" fontId="77" fillId="78" borderId="36" applyNumberFormat="0" applyProtection="0">
      <alignment horizontal="left" vertical="center" indent="1"/>
    </xf>
    <xf numFmtId="4" fontId="77" fillId="79" borderId="38" applyNumberFormat="0" applyProtection="0">
      <alignment horizontal="left" vertical="center" indent="1"/>
    </xf>
    <xf numFmtId="4" fontId="77" fillId="79" borderId="38" applyNumberFormat="0" applyProtection="0">
      <alignment horizontal="left" vertical="center" indent="1"/>
    </xf>
    <xf numFmtId="4" fontId="81" fillId="80" borderId="39" applyNumberFormat="0" applyProtection="0">
      <alignment horizontal="left" vertical="center" indent="1"/>
    </xf>
    <xf numFmtId="4" fontId="76" fillId="81" borderId="0" applyNumberFormat="0" applyProtection="0">
      <alignment horizontal="left" vertical="center" indent="1"/>
    </xf>
    <xf numFmtId="0" fontId="4" fillId="68" borderId="36" applyNumberFormat="0" applyProtection="0">
      <alignment horizontal="left" vertical="center" indent="1"/>
    </xf>
    <xf numFmtId="4" fontId="81" fillId="80" borderId="36" applyNumberFormat="0" applyProtection="0">
      <alignment horizontal="left" vertical="center" indent="1"/>
    </xf>
    <xf numFmtId="4" fontId="81" fillId="82" borderId="0" applyNumberFormat="0" applyProtection="0">
      <alignment horizontal="left" vertical="center" indent="1"/>
    </xf>
    <xf numFmtId="4" fontId="81" fillId="82" borderId="0" applyNumberFormat="0" applyProtection="0">
      <alignment horizontal="left" vertical="center" indent="1"/>
    </xf>
    <xf numFmtId="4" fontId="81" fillId="83" borderId="36" applyNumberFormat="0" applyProtection="0">
      <alignment horizontal="left" vertical="center" indent="1"/>
    </xf>
    <xf numFmtId="4" fontId="81" fillId="84" borderId="0" applyNumberFormat="0" applyProtection="0">
      <alignment horizontal="left" vertical="center" indent="1"/>
    </xf>
    <xf numFmtId="4" fontId="81" fillId="84" borderId="0" applyNumberFormat="0" applyProtection="0">
      <alignment horizontal="left" vertical="center" indent="1"/>
    </xf>
    <xf numFmtId="0" fontId="4" fillId="83" borderId="36" applyNumberFormat="0" applyProtection="0">
      <alignment horizontal="left" vertical="center" indent="1"/>
    </xf>
    <xf numFmtId="0" fontId="4" fillId="83" borderId="36" applyNumberFormat="0" applyProtection="0">
      <alignment horizontal="left" vertical="center" indent="1"/>
    </xf>
    <xf numFmtId="0" fontId="4" fillId="85" borderId="36" applyNumberFormat="0" applyProtection="0">
      <alignment horizontal="left" vertical="center" indent="1"/>
    </xf>
    <xf numFmtId="0" fontId="4" fillId="85" borderId="36" applyNumberFormat="0" applyProtection="0">
      <alignment horizontal="left" vertical="center" indent="1"/>
    </xf>
    <xf numFmtId="0" fontId="4" fillId="62" borderId="36" applyNumberFormat="0" applyProtection="0">
      <alignment horizontal="left" vertical="center" indent="1"/>
    </xf>
    <xf numFmtId="0" fontId="4" fillId="62" borderId="36" applyNumberFormat="0" applyProtection="0">
      <alignment horizontal="left" vertical="center" indent="1"/>
    </xf>
    <xf numFmtId="0" fontId="4" fillId="68" borderId="36" applyNumberFormat="0" applyProtection="0">
      <alignment horizontal="left" vertical="center" indent="1"/>
    </xf>
    <xf numFmtId="0" fontId="4" fillId="68" borderId="36" applyNumberFormat="0" applyProtection="0">
      <alignment horizontal="left" vertical="center" indent="1"/>
    </xf>
    <xf numFmtId="4" fontId="81" fillId="64" borderId="36" applyNumberFormat="0" applyProtection="0">
      <alignment vertical="center"/>
    </xf>
    <xf numFmtId="4" fontId="79" fillId="64" borderId="36" applyNumberFormat="0" applyProtection="0">
      <alignment vertical="center"/>
    </xf>
    <xf numFmtId="4" fontId="81" fillId="64" borderId="36" applyNumberFormat="0" applyProtection="0">
      <alignment horizontal="left" vertical="center" indent="1"/>
    </xf>
    <xf numFmtId="4" fontId="81" fillId="64" borderId="36" applyNumberFormat="0" applyProtection="0">
      <alignment horizontal="left" vertical="center" indent="1"/>
    </xf>
    <xf numFmtId="4" fontId="81" fillId="80" borderId="36" applyNumberFormat="0" applyProtection="0">
      <alignment horizontal="right" vertical="center"/>
    </xf>
    <xf numFmtId="193" fontId="111" fillId="45" borderId="40" applyNumberFormat="0" applyProtection="0">
      <alignment horizontal="right" vertical="center"/>
    </xf>
    <xf numFmtId="193" fontId="111" fillId="45" borderId="40" applyNumberFormat="0" applyProtection="0">
      <alignment horizontal="right" vertical="center"/>
    </xf>
    <xf numFmtId="193" fontId="111" fillId="45" borderId="40" applyNumberFormat="0" applyProtection="0">
      <alignment horizontal="right" vertical="center"/>
    </xf>
    <xf numFmtId="193" fontId="111" fillId="45" borderId="40" applyNumberFormat="0" applyProtection="0">
      <alignment horizontal="right" vertical="center"/>
    </xf>
    <xf numFmtId="4" fontId="79" fillId="80" borderId="36" applyNumberFormat="0" applyProtection="0">
      <alignment horizontal="right" vertical="center"/>
    </xf>
    <xf numFmtId="193" fontId="112" fillId="45" borderId="40" applyNumberFormat="0" applyProtection="0">
      <alignment horizontal="right" vertical="center"/>
    </xf>
    <xf numFmtId="193" fontId="112" fillId="45" borderId="40" applyNumberFormat="0" applyProtection="0">
      <alignment horizontal="right" vertical="center"/>
    </xf>
    <xf numFmtId="193" fontId="112" fillId="45" borderId="40" applyNumberFormat="0" applyProtection="0">
      <alignment horizontal="right" vertical="center"/>
    </xf>
    <xf numFmtId="193" fontId="112" fillId="45" borderId="40" applyNumberFormat="0" applyProtection="0">
      <alignment horizontal="right" vertical="center"/>
    </xf>
    <xf numFmtId="0" fontId="4" fillId="68" borderId="36" applyNumberFormat="0" applyProtection="0">
      <alignment horizontal="left" vertical="center" indent="1"/>
    </xf>
    <xf numFmtId="193" fontId="110" fillId="86" borderId="40" applyNumberFormat="0" applyProtection="0">
      <alignment horizontal="left" vertical="center" wrapText="1" indent="1"/>
    </xf>
    <xf numFmtId="193" fontId="110" fillId="86" borderId="40" applyNumberFormat="0" applyProtection="0">
      <alignment horizontal="left" vertical="center" wrapText="1" indent="1"/>
    </xf>
    <xf numFmtId="193" fontId="110" fillId="86" borderId="40" applyNumberFormat="0" applyProtection="0">
      <alignment horizontal="left" vertical="center" wrapText="1" indent="1"/>
    </xf>
    <xf numFmtId="193" fontId="110" fillId="86" borderId="40" applyNumberFormat="0" applyProtection="0">
      <alignment horizontal="left" vertical="center" wrapText="1" indent="1"/>
    </xf>
    <xf numFmtId="0" fontId="4" fillId="68" borderId="36" applyNumberFormat="0" applyProtection="0">
      <alignment horizontal="left" vertical="center" indent="1"/>
    </xf>
    <xf numFmtId="193" fontId="113" fillId="84" borderId="40" applyNumberFormat="0" applyProtection="0">
      <alignment horizontal="left" vertical="top" indent="1"/>
    </xf>
    <xf numFmtId="193" fontId="113" fillId="84" borderId="40" applyNumberFormat="0" applyProtection="0">
      <alignment horizontal="left" vertical="top" indent="1"/>
    </xf>
    <xf numFmtId="193" fontId="113" fillId="84" borderId="40" applyNumberFormat="0" applyProtection="0">
      <alignment horizontal="left" vertical="top" indent="1"/>
    </xf>
    <xf numFmtId="193" fontId="113" fillId="84" borderId="40" applyNumberFormat="0" applyProtection="0">
      <alignment horizontal="left" vertical="top" indent="1"/>
    </xf>
    <xf numFmtId="0" fontId="82" fillId="0" borderId="0"/>
    <xf numFmtId="4" fontId="114" fillId="0" borderId="0" applyNumberFormat="0" applyProtection="0">
      <alignment horizontal="left" vertical="center" indent="1"/>
    </xf>
    <xf numFmtId="4" fontId="114" fillId="0" borderId="0" applyNumberFormat="0" applyProtection="0">
      <alignment horizontal="left" vertical="center" indent="1"/>
    </xf>
    <xf numFmtId="4" fontId="83" fillId="80" borderId="36" applyNumberFormat="0" applyProtection="0">
      <alignment horizontal="right" vertical="center"/>
    </xf>
    <xf numFmtId="193" fontId="115" fillId="45" borderId="40" applyNumberFormat="0" applyProtection="0">
      <alignment horizontal="right" vertical="center"/>
    </xf>
    <xf numFmtId="193" fontId="115" fillId="45" borderId="40" applyNumberFormat="0" applyProtection="0">
      <alignment horizontal="right" vertical="center"/>
    </xf>
    <xf numFmtId="193" fontId="115" fillId="45" borderId="40" applyNumberFormat="0" applyProtection="0">
      <alignment horizontal="right" vertical="center"/>
    </xf>
    <xf numFmtId="193" fontId="115" fillId="45" borderId="40" applyNumberFormat="0" applyProtection="0">
      <alignment horizontal="right" vertical="center"/>
    </xf>
    <xf numFmtId="193" fontId="22" fillId="0" borderId="0" applyNumberFormat="0" applyFill="0" applyBorder="0" applyAlignment="0" applyProtection="0"/>
    <xf numFmtId="193" fontId="4" fillId="0" borderId="0"/>
    <xf numFmtId="193" fontId="4" fillId="0" borderId="0"/>
    <xf numFmtId="193" fontId="116" fillId="0" borderId="29" applyNumberFormat="0" applyFill="0" applyBorder="0" applyAlignment="0" applyProtection="0"/>
    <xf numFmtId="193" fontId="116" fillId="0" borderId="29" applyNumberFormat="0" applyFill="0" applyBorder="0" applyAlignment="0" applyProtection="0"/>
    <xf numFmtId="193" fontId="116" fillId="0" borderId="29" applyNumberFormat="0" applyFill="0" applyBorder="0" applyAlignment="0" applyProtection="0"/>
    <xf numFmtId="193" fontId="116" fillId="0" borderId="29" applyNumberFormat="0" applyFill="0" applyBorder="0" applyAlignment="0" applyProtection="0"/>
    <xf numFmtId="196" fontId="4" fillId="0" borderId="0" applyBorder="0" applyProtection="0">
      <alignment horizontal="right"/>
    </xf>
    <xf numFmtId="196" fontId="4" fillId="0" borderId="0" applyBorder="0" applyProtection="0">
      <alignment horizontal="right"/>
    </xf>
    <xf numFmtId="40" fontId="74" fillId="0" borderId="0"/>
    <xf numFmtId="0" fontId="140" fillId="0" borderId="0" applyNumberFormat="0" applyFill="0" applyBorder="0" applyAlignment="0" applyProtection="0"/>
    <xf numFmtId="0" fontId="141" fillId="0" borderId="28" applyNumberFormat="0" applyFill="0" applyAlignment="0" applyProtection="0"/>
    <xf numFmtId="208" fontId="8" fillId="0" borderId="0" applyBorder="0" applyProtection="0">
      <alignment horizontal="right"/>
    </xf>
    <xf numFmtId="0" fontId="142" fillId="0" borderId="0" applyNumberFormat="0" applyFill="0" applyBorder="0" applyAlignment="0" applyProtection="0"/>
    <xf numFmtId="193" fontId="117" fillId="0" borderId="29" applyNumberFormat="0" applyFill="0" applyBorder="0" applyAlignment="0" applyProtection="0"/>
    <xf numFmtId="193" fontId="117" fillId="0" borderId="29" applyNumberFormat="0" applyFill="0" applyBorder="0" applyAlignment="0" applyProtection="0"/>
    <xf numFmtId="193" fontId="117" fillId="0" borderId="29" applyNumberFormat="0" applyFill="0" applyBorder="0" applyAlignment="0" applyProtection="0"/>
    <xf numFmtId="193" fontId="117" fillId="0" borderId="29" applyNumberFormat="0" applyFill="0" applyBorder="0" applyAlignment="0" applyProtection="0"/>
    <xf numFmtId="193" fontId="118" fillId="0" borderId="29" applyNumberFormat="0" applyFill="0" applyBorder="0" applyAlignment="0" applyProtection="0"/>
    <xf numFmtId="193" fontId="118" fillId="0" borderId="29" applyNumberFormat="0" applyFill="0" applyBorder="0" applyAlignment="0" applyProtection="0"/>
    <xf numFmtId="193" fontId="118" fillId="0" borderId="29" applyNumberFormat="0" applyFill="0" applyBorder="0" applyAlignment="0" applyProtection="0"/>
    <xf numFmtId="193" fontId="118" fillId="0" borderId="29" applyNumberFormat="0" applyFill="0" applyBorder="0" applyAlignment="0" applyProtection="0"/>
    <xf numFmtId="193" fontId="119" fillId="0" borderId="29" applyNumberFormat="0" applyFill="0" applyBorder="0" applyAlignment="0" applyProtection="0"/>
    <xf numFmtId="193" fontId="119" fillId="0" borderId="29" applyNumberFormat="0" applyFill="0" applyBorder="0" applyAlignment="0" applyProtection="0"/>
    <xf numFmtId="193" fontId="119" fillId="0" borderId="29" applyNumberFormat="0" applyFill="0" applyBorder="0" applyAlignment="0" applyProtection="0"/>
    <xf numFmtId="193" fontId="119" fillId="0" borderId="29" applyNumberFormat="0" applyFill="0" applyBorder="0" applyAlignment="0" applyProtection="0"/>
    <xf numFmtId="198" fontId="66" fillId="0" borderId="0" applyFont="0" applyFill="0" applyBorder="0" applyAlignment="0" applyProtection="0"/>
    <xf numFmtId="199" fontId="66" fillId="0" borderId="0" applyFont="0" applyFill="0" applyBorder="0" applyAlignment="0" applyProtection="0"/>
    <xf numFmtId="200" fontId="66" fillId="0" borderId="0" applyFont="0" applyFill="0" applyBorder="0" applyAlignment="0" applyProtection="0"/>
    <xf numFmtId="201" fontId="66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66" fillId="0" borderId="0"/>
    <xf numFmtId="41" fontId="95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3" fontId="95" fillId="0" borderId="0" applyFont="0" applyFill="0" applyBorder="0" applyAlignment="0" applyProtection="0"/>
    <xf numFmtId="193" fontId="95" fillId="0" borderId="0" applyFont="0" applyFill="0" applyBorder="0" applyAlignment="0" applyProtection="0"/>
    <xf numFmtId="193" fontId="120" fillId="0" borderId="0"/>
    <xf numFmtId="193" fontId="121" fillId="0" borderId="0"/>
    <xf numFmtId="43" fontId="138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138" fillId="0" borderId="0"/>
    <xf numFmtId="9" fontId="13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10" fontId="8" fillId="64" borderId="15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" fontId="4" fillId="0" borderId="41" applyNumberFormat="0" applyFill="0" applyAlignment="0" applyProtection="0">
      <alignment horizontal="center" vertical="center"/>
    </xf>
    <xf numFmtId="43" fontId="1" fillId="0" borderId="0" applyFont="0" applyFill="0" applyBorder="0" applyAlignment="0" applyProtection="0"/>
    <xf numFmtId="0" fontId="1" fillId="0" borderId="0"/>
    <xf numFmtId="0" fontId="64" fillId="0" borderId="0"/>
    <xf numFmtId="9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64" fillId="0" borderId="0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1" fillId="0" borderId="0" applyFont="0" applyFill="0" applyBorder="0" applyAlignment="0" applyProtection="0"/>
    <xf numFmtId="44" fontId="103" fillId="0" borderId="0" applyFont="0" applyFill="0" applyBorder="0" applyAlignment="0" applyProtection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4" fillId="0" borderId="0"/>
    <xf numFmtId="4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66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0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7" applyNumberFormat="0" applyFont="0" applyAlignment="0" applyProtection="0"/>
    <xf numFmtId="0" fontId="1" fillId="12" borderId="2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68" borderId="64" applyNumberFormat="0" applyProtection="0">
      <alignment horizontal="left" vertical="center" indent="1"/>
    </xf>
    <xf numFmtId="193" fontId="113" fillId="84" borderId="66" applyNumberFormat="0" applyProtection="0">
      <alignment horizontal="left" vertical="top" indent="1"/>
    </xf>
    <xf numFmtId="0" fontId="4" fillId="83" borderId="53" applyNumberFormat="0" applyProtection="0">
      <alignment horizontal="left" vertical="center" indent="1"/>
    </xf>
    <xf numFmtId="193" fontId="22" fillId="65" borderId="63" applyNumberFormat="0" applyAlignment="0" applyProtection="0"/>
    <xf numFmtId="193" fontId="111" fillId="45" borderId="66" applyNumberFormat="0" applyProtection="0">
      <alignment horizontal="right" vertical="center"/>
    </xf>
    <xf numFmtId="193" fontId="111" fillId="45" borderId="66" applyNumberFormat="0" applyProtection="0">
      <alignment horizontal="right" vertical="center"/>
    </xf>
    <xf numFmtId="193" fontId="112" fillId="45" borderId="66" applyNumberFormat="0" applyProtection="0">
      <alignment horizontal="right" vertical="center"/>
    </xf>
    <xf numFmtId="193" fontId="115" fillId="45" borderId="66" applyNumberFormat="0" applyProtection="0">
      <alignment horizontal="right" vertical="center"/>
    </xf>
    <xf numFmtId="193" fontId="116" fillId="0" borderId="59" applyNumberFormat="0" applyFill="0" applyBorder="0" applyAlignment="0" applyProtection="0"/>
    <xf numFmtId="193" fontId="8" fillId="61" borderId="56"/>
    <xf numFmtId="193" fontId="113" fillId="84" borderId="68" applyNumberFormat="0" applyProtection="0">
      <alignment horizontal="left" vertical="top" indent="1"/>
    </xf>
    <xf numFmtId="193" fontId="89" fillId="59" borderId="58" applyNumberFormat="0" applyAlignment="0" applyProtection="0"/>
    <xf numFmtId="193" fontId="22" fillId="65" borderId="52" applyNumberFormat="0" applyAlignment="0" applyProtection="0"/>
    <xf numFmtId="193" fontId="65" fillId="0" borderId="57" applyNumberFormat="0" applyFill="0" applyBorder="0" applyAlignment="0" applyProtection="0"/>
    <xf numFmtId="193" fontId="96" fillId="0" borderId="57" applyNumberFormat="0" applyFill="0" applyBorder="0" applyAlignment="0" applyProtection="0"/>
    <xf numFmtId="193" fontId="94" fillId="59" borderId="53" applyNumberFormat="0" applyAlignment="0" applyProtection="0"/>
    <xf numFmtId="193" fontId="96" fillId="0" borderId="42" applyNumberFormat="0" applyFill="0" applyBorder="0" applyAlignment="0" applyProtection="0"/>
    <xf numFmtId="193" fontId="96" fillId="0" borderId="42" applyNumberFormat="0" applyFill="0" applyBorder="0" applyAlignment="0" applyProtection="0"/>
    <xf numFmtId="193" fontId="96" fillId="0" borderId="42" applyNumberFormat="0" applyFill="0" applyBorder="0" applyAlignment="0" applyProtection="0"/>
    <xf numFmtId="193" fontId="96" fillId="0" borderId="42" applyNumberFormat="0" applyFill="0" applyBorder="0" applyAlignment="0" applyProtection="0"/>
    <xf numFmtId="193" fontId="65" fillId="0" borderId="42" applyNumberFormat="0" applyFill="0" applyBorder="0" applyAlignment="0" applyProtection="0"/>
    <xf numFmtId="193" fontId="65" fillId="0" borderId="42" applyNumberFormat="0" applyFill="0" applyBorder="0" applyAlignment="0" applyProtection="0"/>
    <xf numFmtId="193" fontId="65" fillId="0" borderId="42" applyNumberFormat="0" applyFill="0" applyBorder="0" applyAlignment="0" applyProtection="0"/>
    <xf numFmtId="193" fontId="65" fillId="0" borderId="42" applyNumberFormat="0" applyFill="0" applyBorder="0" applyAlignment="0" applyProtection="0"/>
    <xf numFmtId="193" fontId="75" fillId="0" borderId="42" applyNumberFormat="0" applyFill="0" applyBorder="0" applyAlignment="0" applyProtection="0"/>
    <xf numFmtId="193" fontId="75" fillId="0" borderId="42" applyNumberFormat="0" applyFill="0" applyBorder="0" applyAlignment="0" applyProtection="0"/>
    <xf numFmtId="193" fontId="75" fillId="0" borderId="42" applyNumberFormat="0" applyFill="0" applyBorder="0" applyAlignment="0" applyProtection="0"/>
    <xf numFmtId="193" fontId="75" fillId="0" borderId="42" applyNumberFormat="0" applyFill="0" applyBorder="0" applyAlignment="0" applyProtection="0"/>
    <xf numFmtId="193" fontId="8" fillId="0" borderId="42" applyNumberFormat="0" applyFill="0" applyAlignment="0" applyProtection="0"/>
    <xf numFmtId="193" fontId="8" fillId="0" borderId="42" applyNumberFormat="0" applyFill="0" applyAlignment="0" applyProtection="0"/>
    <xf numFmtId="193" fontId="89" fillId="59" borderId="43" applyNumberFormat="0" applyAlignment="0" applyProtection="0"/>
    <xf numFmtId="193" fontId="89" fillId="59" borderId="43" applyNumberFormat="0" applyAlignment="0" applyProtection="0"/>
    <xf numFmtId="4" fontId="79" fillId="67" borderId="53" applyNumberFormat="0" applyProtection="0">
      <alignment vertical="center"/>
    </xf>
    <xf numFmtId="4" fontId="81" fillId="67" borderId="53" applyNumberFormat="0" applyProtection="0">
      <alignment horizontal="left" vertical="center" indent="1"/>
    </xf>
    <xf numFmtId="193" fontId="117" fillId="0" borderId="59" applyNumberFormat="0" applyFill="0" applyBorder="0" applyAlignment="0" applyProtection="0"/>
    <xf numFmtId="4" fontId="81" fillId="70" borderId="53" applyNumberFormat="0" applyProtection="0">
      <alignment horizontal="right" vertical="center"/>
    </xf>
    <xf numFmtId="4" fontId="81" fillId="72" borderId="53" applyNumberFormat="0" applyProtection="0">
      <alignment horizontal="right" vertical="center"/>
    </xf>
    <xf numFmtId="4" fontId="81" fillId="73" borderId="53" applyNumberFormat="0" applyProtection="0">
      <alignment horizontal="right" vertical="center"/>
    </xf>
    <xf numFmtId="4" fontId="81" fillId="75" borderId="53" applyNumberFormat="0" applyProtection="0">
      <alignment horizontal="right" vertical="center"/>
    </xf>
    <xf numFmtId="4" fontId="81" fillId="77" borderId="53" applyNumberFormat="0" applyProtection="0">
      <alignment horizontal="right" vertical="center"/>
    </xf>
    <xf numFmtId="4" fontId="81" fillId="80" borderId="53" applyNumberFormat="0" applyProtection="0">
      <alignment horizontal="left" vertical="center" indent="1"/>
    </xf>
    <xf numFmtId="0" fontId="4" fillId="62" borderId="53" applyNumberFormat="0" applyProtection="0">
      <alignment horizontal="left" vertical="center" indent="1"/>
    </xf>
    <xf numFmtId="4" fontId="81" fillId="64" borderId="53" applyNumberFormat="0" applyProtection="0">
      <alignment horizontal="left" vertical="center" indent="1"/>
    </xf>
    <xf numFmtId="4" fontId="81" fillId="80" borderId="53" applyNumberFormat="0" applyProtection="0">
      <alignment horizontal="right" vertical="center"/>
    </xf>
    <xf numFmtId="193" fontId="111" fillId="45" borderId="54" applyNumberFormat="0" applyProtection="0">
      <alignment horizontal="right" vertical="center"/>
    </xf>
    <xf numFmtId="193" fontId="116" fillId="0" borderId="57" applyNumberFormat="0" applyFill="0" applyBorder="0" applyAlignment="0" applyProtection="0"/>
    <xf numFmtId="193" fontId="116" fillId="0" borderId="57" applyNumberFormat="0" applyFill="0" applyBorder="0" applyAlignment="0" applyProtection="0"/>
    <xf numFmtId="10" fontId="8" fillId="64" borderId="56" applyNumberFormat="0" applyBorder="0" applyAlignment="0" applyProtection="0"/>
    <xf numFmtId="4" fontId="79" fillId="67" borderId="64" applyNumberFormat="0" applyProtection="0">
      <alignment vertical="center"/>
    </xf>
    <xf numFmtId="43" fontId="64" fillId="0" borderId="0" applyFont="0" applyFill="0" applyBorder="0" applyAlignment="0" applyProtection="0"/>
    <xf numFmtId="193" fontId="112" fillId="45" borderId="68" applyNumberFormat="0" applyProtection="0">
      <alignment horizontal="right" vertical="center"/>
    </xf>
    <xf numFmtId="193" fontId="22" fillId="65" borderId="67" applyNumberFormat="0" applyAlignment="0" applyProtection="0"/>
    <xf numFmtId="193" fontId="75" fillId="0" borderId="59" applyNumberFormat="0" applyFill="0" applyBorder="0" applyAlignment="0" applyProtection="0"/>
    <xf numFmtId="193" fontId="111" fillId="45" borderId="68" applyNumberFormat="0" applyProtection="0">
      <alignment horizontal="right" vertical="center"/>
    </xf>
    <xf numFmtId="193" fontId="8" fillId="61" borderId="61"/>
    <xf numFmtId="193" fontId="115" fillId="45" borderId="68" applyNumberFormat="0" applyProtection="0">
      <alignment horizontal="right" vertical="center"/>
    </xf>
    <xf numFmtId="4" fontId="81" fillId="76" borderId="64" applyNumberFormat="0" applyProtection="0">
      <alignment horizontal="right" vertical="center"/>
    </xf>
    <xf numFmtId="193" fontId="119" fillId="0" borderId="59" applyNumberFormat="0" applyFill="0" applyBorder="0" applyAlignment="0" applyProtection="0"/>
    <xf numFmtId="193" fontId="89" fillId="59" borderId="60" applyNumberFormat="0" applyAlignment="0" applyProtection="0"/>
    <xf numFmtId="0" fontId="4" fillId="62" borderId="64" applyNumberFormat="0" applyProtection="0">
      <alignment horizontal="left" vertical="center" indent="1"/>
    </xf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193" fontId="96" fillId="0" borderId="57" applyNumberFormat="0" applyFill="0" applyBorder="0" applyAlignment="0" applyProtection="0"/>
    <xf numFmtId="193" fontId="119" fillId="0" borderId="50" applyNumberFormat="0" applyFill="0" applyBorder="0" applyAlignment="0" applyProtection="0"/>
    <xf numFmtId="193" fontId="119" fillId="0" borderId="50" applyNumberFormat="0" applyFill="0" applyBorder="0" applyAlignment="0" applyProtection="0"/>
    <xf numFmtId="193" fontId="118" fillId="0" borderId="50" applyNumberFormat="0" applyFill="0" applyBorder="0" applyAlignment="0" applyProtection="0"/>
    <xf numFmtId="193" fontId="118" fillId="0" borderId="50" applyNumberFormat="0" applyFill="0" applyBorder="0" applyAlignment="0" applyProtection="0"/>
    <xf numFmtId="193" fontId="117" fillId="0" borderId="50" applyNumberFormat="0" applyFill="0" applyBorder="0" applyAlignment="0" applyProtection="0"/>
    <xf numFmtId="193" fontId="117" fillId="0" borderId="50" applyNumberFormat="0" applyFill="0" applyBorder="0" applyAlignment="0" applyProtection="0"/>
    <xf numFmtId="193" fontId="116" fillId="0" borderId="50" applyNumberFormat="0" applyFill="0" applyBorder="0" applyAlignment="0" applyProtection="0"/>
    <xf numFmtId="193" fontId="116" fillId="0" borderId="50" applyNumberFormat="0" applyFill="0" applyBorder="0" applyAlignment="0" applyProtection="0"/>
    <xf numFmtId="193" fontId="92" fillId="46" borderId="43" applyNumberFormat="0" applyAlignment="0" applyProtection="0"/>
    <xf numFmtId="193" fontId="92" fillId="46" borderId="43" applyNumberFormat="0" applyAlignment="0" applyProtection="0"/>
    <xf numFmtId="193" fontId="94" fillId="59" borderId="64" applyNumberFormat="0" applyAlignment="0" applyProtection="0"/>
    <xf numFmtId="4" fontId="81" fillId="67" borderId="64" applyNumberFormat="0" applyProtection="0">
      <alignment horizontal="left" vertical="center" indent="1"/>
    </xf>
    <xf numFmtId="4" fontId="81" fillId="73" borderId="64" applyNumberFormat="0" applyProtection="0">
      <alignment horizontal="right" vertical="center"/>
    </xf>
    <xf numFmtId="4" fontId="81" fillId="75" borderId="64" applyNumberFormat="0" applyProtection="0">
      <alignment horizontal="right" vertical="center"/>
    </xf>
    <xf numFmtId="0" fontId="4" fillId="62" borderId="64" applyNumberFormat="0" applyProtection="0">
      <alignment horizontal="left" vertical="center" indent="1"/>
    </xf>
    <xf numFmtId="193" fontId="118" fillId="0" borderId="59" applyNumberFormat="0" applyFill="0" applyBorder="0" applyAlignment="0" applyProtection="0"/>
    <xf numFmtId="193" fontId="110" fillId="86" borderId="68" applyNumberFormat="0" applyProtection="0">
      <alignment horizontal="left" vertical="center" wrapText="1" indent="1"/>
    </xf>
    <xf numFmtId="193" fontId="115" fillId="45" borderId="68" applyNumberFormat="0" applyProtection="0">
      <alignment horizontal="right" vertical="center"/>
    </xf>
    <xf numFmtId="193" fontId="119" fillId="0" borderId="57" applyNumberFormat="0" applyFill="0" applyBorder="0" applyAlignment="0" applyProtection="0"/>
    <xf numFmtId="193" fontId="118" fillId="0" borderId="57" applyNumberFormat="0" applyFill="0" applyBorder="0" applyAlignment="0" applyProtection="0"/>
    <xf numFmtId="193" fontId="8" fillId="62" borderId="56"/>
    <xf numFmtId="193" fontId="96" fillId="0" borderId="59" applyNumberFormat="0" applyFill="0" applyBorder="0" applyAlignment="0" applyProtection="0"/>
    <xf numFmtId="193" fontId="96" fillId="0" borderId="59" applyNumberFormat="0" applyFill="0" applyBorder="0" applyAlignment="0" applyProtection="0"/>
    <xf numFmtId="193" fontId="75" fillId="0" borderId="59" applyNumberFormat="0" applyFill="0" applyBorder="0" applyAlignment="0" applyProtection="0"/>
    <xf numFmtId="0" fontId="4" fillId="83" borderId="64" applyNumberFormat="0" applyProtection="0">
      <alignment horizontal="left" vertical="center" indent="1"/>
    </xf>
    <xf numFmtId="4" fontId="79" fillId="64" borderId="64" applyNumberFormat="0" applyProtection="0">
      <alignment vertical="center"/>
    </xf>
    <xf numFmtId="4" fontId="81" fillId="64" borderId="64" applyNumberFormat="0" applyProtection="0">
      <alignment horizontal="left" vertical="center" indent="1"/>
    </xf>
    <xf numFmtId="4" fontId="79" fillId="80" borderId="64" applyNumberFormat="0" applyProtection="0">
      <alignment horizontal="right" vertical="center"/>
    </xf>
    <xf numFmtId="193" fontId="110" fillId="86" borderId="66" applyNumberFormat="0" applyProtection="0">
      <alignment horizontal="left" vertical="center" wrapText="1" indent="1"/>
    </xf>
    <xf numFmtId="193" fontId="113" fillId="84" borderId="66" applyNumberFormat="0" applyProtection="0">
      <alignment horizontal="left" vertical="top" indent="1"/>
    </xf>
    <xf numFmtId="193" fontId="67" fillId="0" borderId="55">
      <alignment horizontal="left" vertical="center"/>
    </xf>
    <xf numFmtId="193" fontId="116" fillId="0" borderId="59" applyNumberFormat="0" applyFill="0" applyBorder="0" applyAlignment="0" applyProtection="0"/>
    <xf numFmtId="193" fontId="117" fillId="0" borderId="59" applyNumberFormat="0" applyFill="0" applyBorder="0" applyAlignment="0" applyProtection="0"/>
    <xf numFmtId="193" fontId="118" fillId="0" borderId="59" applyNumberFormat="0" applyFill="0" applyBorder="0" applyAlignment="0" applyProtection="0"/>
    <xf numFmtId="193" fontId="117" fillId="0" borderId="59" applyNumberFormat="0" applyFill="0" applyBorder="0" applyAlignment="0" applyProtection="0"/>
    <xf numFmtId="193" fontId="113" fillId="84" borderId="68" applyNumberFormat="0" applyProtection="0">
      <alignment horizontal="left" vertical="top" indent="1"/>
    </xf>
    <xf numFmtId="193" fontId="111" fillId="45" borderId="68" applyNumberFormat="0" applyProtection="0">
      <alignment horizontal="right" vertical="center"/>
    </xf>
    <xf numFmtId="193" fontId="8" fillId="0" borderId="57" applyNumberFormat="0" applyFill="0" applyAlignment="0" applyProtection="0"/>
    <xf numFmtId="193" fontId="75" fillId="0" borderId="57" applyNumberFormat="0" applyFill="0" applyBorder="0" applyAlignment="0" applyProtection="0"/>
    <xf numFmtId="193" fontId="94" fillId="59" borderId="53" applyNumberFormat="0" applyAlignment="0" applyProtection="0"/>
    <xf numFmtId="4" fontId="81" fillId="67" borderId="53" applyNumberFormat="0" applyProtection="0">
      <alignment vertical="center"/>
    </xf>
    <xf numFmtId="0" fontId="4" fillId="68" borderId="53" applyNumberFormat="0" applyProtection="0">
      <alignment horizontal="left" vertical="center" indent="1"/>
    </xf>
    <xf numFmtId="4" fontId="81" fillId="71" borderId="53" applyNumberFormat="0" applyProtection="0">
      <alignment horizontal="right" vertical="center"/>
    </xf>
    <xf numFmtId="4" fontId="81" fillId="74" borderId="53" applyNumberFormat="0" applyProtection="0">
      <alignment horizontal="right" vertical="center"/>
    </xf>
    <xf numFmtId="4" fontId="77" fillId="78" borderId="53" applyNumberFormat="0" applyProtection="0">
      <alignment horizontal="left" vertical="center" indent="1"/>
    </xf>
    <xf numFmtId="0" fontId="4" fillId="68" borderId="53" applyNumberFormat="0" applyProtection="0">
      <alignment horizontal="left" vertical="center" indent="1"/>
    </xf>
    <xf numFmtId="4" fontId="81" fillId="83" borderId="53" applyNumberFormat="0" applyProtection="0">
      <alignment horizontal="left" vertical="center" indent="1"/>
    </xf>
    <xf numFmtId="4" fontId="79" fillId="80" borderId="53" applyNumberFormat="0" applyProtection="0">
      <alignment horizontal="right" vertical="center"/>
    </xf>
    <xf numFmtId="193" fontId="112" fillId="45" borderId="54" applyNumberFormat="0" applyProtection="0">
      <alignment horizontal="right" vertical="center"/>
    </xf>
    <xf numFmtId="193" fontId="112" fillId="45" borderId="54" applyNumberFormat="0" applyProtection="0">
      <alignment horizontal="right" vertical="center"/>
    </xf>
    <xf numFmtId="193" fontId="112" fillId="45" borderId="54" applyNumberFormat="0" applyProtection="0">
      <alignment horizontal="right" vertical="center"/>
    </xf>
    <xf numFmtId="193" fontId="110" fillId="86" borderId="54" applyNumberFormat="0" applyProtection="0">
      <alignment horizontal="left" vertical="center" wrapText="1" indent="1"/>
    </xf>
    <xf numFmtId="193" fontId="110" fillId="86" borderId="54" applyNumberFormat="0" applyProtection="0">
      <alignment horizontal="left" vertical="center" wrapText="1" indent="1"/>
    </xf>
    <xf numFmtId="0" fontId="4" fillId="68" borderId="53" applyNumberFormat="0" applyProtection="0">
      <alignment horizontal="left" vertical="center" indent="1"/>
    </xf>
    <xf numFmtId="193" fontId="92" fillId="46" borderId="51" applyNumberFormat="0" applyAlignment="0" applyProtection="0"/>
    <xf numFmtId="193" fontId="113" fillId="84" borderId="54" applyNumberFormat="0" applyProtection="0">
      <alignment horizontal="left" vertical="top" indent="1"/>
    </xf>
    <xf numFmtId="193" fontId="113" fillId="84" borderId="54" applyNumberFormat="0" applyProtection="0">
      <alignment horizontal="left" vertical="top" indent="1"/>
    </xf>
    <xf numFmtId="193" fontId="113" fillId="84" borderId="54" applyNumberFormat="0" applyProtection="0">
      <alignment horizontal="left" vertical="top" indent="1"/>
    </xf>
    <xf numFmtId="4" fontId="83" fillId="80" borderId="53" applyNumberFormat="0" applyProtection="0">
      <alignment horizontal="right" vertical="center"/>
    </xf>
    <xf numFmtId="193" fontId="115" fillId="45" borderId="54" applyNumberFormat="0" applyProtection="0">
      <alignment horizontal="right" vertical="center"/>
    </xf>
    <xf numFmtId="193" fontId="67" fillId="0" borderId="48">
      <alignment horizontal="left" vertical="center"/>
    </xf>
    <xf numFmtId="9" fontId="64" fillId="0" borderId="0" applyFont="0" applyFill="0" applyBorder="0" applyAlignment="0" applyProtection="0"/>
    <xf numFmtId="0" fontId="64" fillId="0" borderId="0"/>
    <xf numFmtId="4" fontId="81" fillId="70" borderId="64" applyNumberFormat="0" applyProtection="0">
      <alignment horizontal="right" vertical="center"/>
    </xf>
    <xf numFmtId="4" fontId="81" fillId="80" borderId="64" applyNumberFormat="0" applyProtection="0">
      <alignment horizontal="left" vertical="center" indent="1"/>
    </xf>
    <xf numFmtId="0" fontId="4" fillId="85" borderId="64" applyNumberFormat="0" applyProtection="0">
      <alignment horizontal="left" vertical="center" indent="1"/>
    </xf>
    <xf numFmtId="4" fontId="81" fillId="80" borderId="64" applyNumberFormat="0" applyProtection="0">
      <alignment horizontal="right" vertical="center"/>
    </xf>
    <xf numFmtId="193" fontId="119" fillId="0" borderId="59" applyNumberFormat="0" applyFill="0" applyBorder="0" applyAlignment="0" applyProtection="0"/>
    <xf numFmtId="0" fontId="64" fillId="0" borderId="0"/>
    <xf numFmtId="193" fontId="115" fillId="45" borderId="68" applyNumberFormat="0" applyProtection="0">
      <alignment horizontal="right" vertical="center"/>
    </xf>
    <xf numFmtId="9" fontId="64" fillId="0" borderId="0" applyFont="0" applyFill="0" applyBorder="0" applyAlignment="0" applyProtection="0"/>
    <xf numFmtId="193" fontId="119" fillId="0" borderId="57" applyNumberFormat="0" applyFill="0" applyBorder="0" applyAlignment="0" applyProtection="0"/>
    <xf numFmtId="193" fontId="118" fillId="0" borderId="57" applyNumberFormat="0" applyFill="0" applyBorder="0" applyAlignment="0" applyProtection="0"/>
    <xf numFmtId="193" fontId="116" fillId="0" borderId="57" applyNumberFormat="0" applyFill="0" applyBorder="0" applyAlignment="0" applyProtection="0"/>
    <xf numFmtId="193" fontId="96" fillId="0" borderId="59" applyNumberFormat="0" applyFill="0" applyBorder="0" applyAlignment="0" applyProtection="0"/>
    <xf numFmtId="193" fontId="65" fillId="0" borderId="59" applyNumberFormat="0" applyFill="0" applyBorder="0" applyAlignment="0" applyProtection="0"/>
    <xf numFmtId="193" fontId="110" fillId="86" borderId="68" applyNumberFormat="0" applyProtection="0">
      <alignment horizontal="left" vertical="center" wrapText="1" indent="1"/>
    </xf>
    <xf numFmtId="193" fontId="67" fillId="0" borderId="62">
      <alignment horizontal="left" vertical="center"/>
    </xf>
    <xf numFmtId="193" fontId="89" fillId="59" borderId="51" applyNumberFormat="0" applyAlignment="0" applyProtection="0"/>
    <xf numFmtId="193" fontId="8" fillId="0" borderId="50" applyNumberFormat="0" applyFill="0" applyAlignment="0" applyProtection="0"/>
    <xf numFmtId="193" fontId="8" fillId="0" borderId="50" applyNumberFormat="0" applyFill="0" applyAlignment="0" applyProtection="0"/>
    <xf numFmtId="193" fontId="75" fillId="0" borderId="50" applyNumberFormat="0" applyFill="0" applyBorder="0" applyAlignment="0" applyProtection="0"/>
    <xf numFmtId="193" fontId="75" fillId="0" borderId="50" applyNumberFormat="0" applyFill="0" applyBorder="0" applyAlignment="0" applyProtection="0"/>
    <xf numFmtId="193" fontId="65" fillId="0" borderId="50" applyNumberFormat="0" applyFill="0" applyBorder="0" applyAlignment="0" applyProtection="0"/>
    <xf numFmtId="193" fontId="65" fillId="0" borderId="50" applyNumberFormat="0" applyFill="0" applyBorder="0" applyAlignment="0" applyProtection="0"/>
    <xf numFmtId="193" fontId="96" fillId="0" borderId="50" applyNumberFormat="0" applyFill="0" applyBorder="0" applyAlignment="0" applyProtection="0"/>
    <xf numFmtId="193" fontId="96" fillId="0" borderId="50" applyNumberFormat="0" applyFill="0" applyBorder="0" applyAlignment="0" applyProtection="0"/>
    <xf numFmtId="193" fontId="22" fillId="65" borderId="44" applyNumberFormat="0" applyAlignment="0" applyProtection="0"/>
    <xf numFmtId="193" fontId="22" fillId="65" borderId="44" applyNumberFormat="0" applyAlignment="0" applyProtection="0"/>
    <xf numFmtId="193" fontId="94" fillId="59" borderId="45" applyNumberFormat="0" applyAlignment="0" applyProtection="0"/>
    <xf numFmtId="193" fontId="94" fillId="59" borderId="45" applyNumberFormat="0" applyAlignment="0" applyProtection="0"/>
    <xf numFmtId="193" fontId="8" fillId="62" borderId="61"/>
    <xf numFmtId="4" fontId="81" fillId="67" borderId="64" applyNumberFormat="0" applyProtection="0">
      <alignment vertical="center"/>
    </xf>
    <xf numFmtId="0" fontId="4" fillId="68" borderId="64" applyNumberFormat="0" applyProtection="0">
      <alignment horizontal="left" vertical="center" indent="1"/>
    </xf>
    <xf numFmtId="4" fontId="81" fillId="71" borderId="64" applyNumberFormat="0" applyProtection="0">
      <alignment horizontal="right" vertical="center"/>
    </xf>
    <xf numFmtId="4" fontId="77" fillId="78" borderId="64" applyNumberFormat="0" applyProtection="0">
      <alignment horizontal="left" vertical="center" indent="1"/>
    </xf>
    <xf numFmtId="4" fontId="81" fillId="80" borderId="65" applyNumberFormat="0" applyProtection="0">
      <alignment horizontal="left" vertical="center" indent="1"/>
    </xf>
    <xf numFmtId="0" fontId="4" fillId="85" borderId="64" applyNumberFormat="0" applyProtection="0">
      <alignment horizontal="left" vertical="center" indent="1"/>
    </xf>
    <xf numFmtId="193" fontId="111" fillId="45" borderId="66" applyNumberFormat="0" applyProtection="0">
      <alignment horizontal="right" vertical="center"/>
    </xf>
    <xf numFmtId="193" fontId="112" fillId="45" borderId="66" applyNumberFormat="0" applyProtection="0">
      <alignment horizontal="right" vertical="center"/>
    </xf>
    <xf numFmtId="0" fontId="4" fillId="68" borderId="64" applyNumberFormat="0" applyProtection="0">
      <alignment horizontal="left" vertical="center" indent="1"/>
    </xf>
    <xf numFmtId="193" fontId="92" fillId="46" borderId="58" applyNumberFormat="0" applyAlignment="0" applyProtection="0"/>
    <xf numFmtId="193" fontId="113" fillId="84" borderId="66" applyNumberFormat="0" applyProtection="0">
      <alignment horizontal="left" vertical="top" indent="1"/>
    </xf>
    <xf numFmtId="193" fontId="115" fillId="45" borderId="66" applyNumberFormat="0" applyProtection="0">
      <alignment horizontal="right" vertical="center"/>
    </xf>
    <xf numFmtId="193" fontId="67" fillId="0" borderId="55">
      <alignment horizontal="left" vertical="center"/>
    </xf>
    <xf numFmtId="193" fontId="119" fillId="0" borderId="59" applyNumberFormat="0" applyFill="0" applyBorder="0" applyAlignment="0" applyProtection="0"/>
    <xf numFmtId="193" fontId="94" fillId="59" borderId="64" applyNumberFormat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193" fontId="4" fillId="0" borderId="46" applyNumberFormat="0" applyFill="0" applyAlignment="0" applyProtection="0"/>
    <xf numFmtId="4" fontId="81" fillId="67" borderId="45" applyNumberFormat="0" applyProtection="0">
      <alignment vertical="center"/>
    </xf>
    <xf numFmtId="4" fontId="79" fillId="67" borderId="45" applyNumberFormat="0" applyProtection="0">
      <alignment vertical="center"/>
    </xf>
    <xf numFmtId="4" fontId="81" fillId="67" borderId="45" applyNumberFormat="0" applyProtection="0">
      <alignment horizontal="left" vertical="center" indent="1"/>
    </xf>
    <xf numFmtId="4" fontId="81" fillId="67" borderId="45" applyNumberFormat="0" applyProtection="0">
      <alignment horizontal="left" vertical="center" indent="1"/>
    </xf>
    <xf numFmtId="0" fontId="4" fillId="68" borderId="45" applyNumberFormat="0" applyProtection="0">
      <alignment horizontal="left" vertical="center" indent="1"/>
    </xf>
    <xf numFmtId="4" fontId="81" fillId="74" borderId="64" applyNumberFormat="0" applyProtection="0">
      <alignment horizontal="right" vertical="center"/>
    </xf>
    <xf numFmtId="4" fontId="81" fillId="70" borderId="45" applyNumberFormat="0" applyProtection="0">
      <alignment horizontal="right" vertical="center"/>
    </xf>
    <xf numFmtId="4" fontId="81" fillId="71" borderId="45" applyNumberFormat="0" applyProtection="0">
      <alignment horizontal="right" vertical="center"/>
    </xf>
    <xf numFmtId="4" fontId="81" fillId="72" borderId="45" applyNumberFormat="0" applyProtection="0">
      <alignment horizontal="right" vertical="center"/>
    </xf>
    <xf numFmtId="4" fontId="81" fillId="39" borderId="45" applyNumberFormat="0" applyProtection="0">
      <alignment horizontal="right" vertical="center"/>
    </xf>
    <xf numFmtId="4" fontId="81" fillId="73" borderId="45" applyNumberFormat="0" applyProtection="0">
      <alignment horizontal="right" vertical="center"/>
    </xf>
    <xf numFmtId="4" fontId="81" fillId="74" borderId="45" applyNumberFormat="0" applyProtection="0">
      <alignment horizontal="right" vertical="center"/>
    </xf>
    <xf numFmtId="4" fontId="81" fillId="75" borderId="45" applyNumberFormat="0" applyProtection="0">
      <alignment horizontal="right" vertical="center"/>
    </xf>
    <xf numFmtId="4" fontId="81" fillId="76" borderId="45" applyNumberFormat="0" applyProtection="0">
      <alignment horizontal="right" vertical="center"/>
    </xf>
    <xf numFmtId="4" fontId="81" fillId="77" borderId="45" applyNumberFormat="0" applyProtection="0">
      <alignment horizontal="right" vertical="center"/>
    </xf>
    <xf numFmtId="4" fontId="77" fillId="78" borderId="45" applyNumberFormat="0" applyProtection="0">
      <alignment horizontal="left" vertical="center" indent="1"/>
    </xf>
    <xf numFmtId="0" fontId="4" fillId="68" borderId="45" applyNumberFormat="0" applyProtection="0">
      <alignment horizontal="left" vertical="center" indent="1"/>
    </xf>
    <xf numFmtId="4" fontId="81" fillId="80" borderId="45" applyNumberFormat="0" applyProtection="0">
      <alignment horizontal="left" vertical="center" indent="1"/>
    </xf>
    <xf numFmtId="193" fontId="110" fillId="86" borderId="54" applyNumberFormat="0" applyProtection="0">
      <alignment horizontal="left" vertical="center" wrapText="1" indent="1"/>
    </xf>
    <xf numFmtId="4" fontId="81" fillId="83" borderId="45" applyNumberFormat="0" applyProtection="0">
      <alignment horizontal="left" vertical="center" indent="1"/>
    </xf>
    <xf numFmtId="193" fontId="115" fillId="45" borderId="66" applyNumberFormat="0" applyProtection="0">
      <alignment horizontal="right" vertical="center"/>
    </xf>
    <xf numFmtId="0" fontId="4" fillId="83" borderId="45" applyNumberFormat="0" applyProtection="0">
      <alignment horizontal="left" vertical="center" indent="1"/>
    </xf>
    <xf numFmtId="0" fontId="4" fillId="83" borderId="45" applyNumberFormat="0" applyProtection="0">
      <alignment horizontal="left" vertical="center" indent="1"/>
    </xf>
    <xf numFmtId="0" fontId="4" fillId="85" borderId="45" applyNumberFormat="0" applyProtection="0">
      <alignment horizontal="left" vertical="center" indent="1"/>
    </xf>
    <xf numFmtId="0" fontId="4" fillId="85" borderId="45" applyNumberFormat="0" applyProtection="0">
      <alignment horizontal="left" vertical="center" indent="1"/>
    </xf>
    <xf numFmtId="0" fontId="4" fillId="62" borderId="45" applyNumberFormat="0" applyProtection="0">
      <alignment horizontal="left" vertical="center" indent="1"/>
    </xf>
    <xf numFmtId="0" fontId="4" fillId="62" borderId="45" applyNumberFormat="0" applyProtection="0">
      <alignment horizontal="left" vertical="center" indent="1"/>
    </xf>
    <xf numFmtId="0" fontId="4" fillId="68" borderId="45" applyNumberFormat="0" applyProtection="0">
      <alignment horizontal="left" vertical="center" indent="1"/>
    </xf>
    <xf numFmtId="0" fontId="4" fillId="68" borderId="45" applyNumberFormat="0" applyProtection="0">
      <alignment horizontal="left" vertical="center" indent="1"/>
    </xf>
    <xf numFmtId="4" fontId="81" fillId="64" borderId="45" applyNumberFormat="0" applyProtection="0">
      <alignment vertical="center"/>
    </xf>
    <xf numFmtId="4" fontId="79" fillId="64" borderId="45" applyNumberFormat="0" applyProtection="0">
      <alignment vertical="center"/>
    </xf>
    <xf numFmtId="4" fontId="81" fillId="64" borderId="45" applyNumberFormat="0" applyProtection="0">
      <alignment horizontal="left" vertical="center" indent="1"/>
    </xf>
    <xf numFmtId="4" fontId="81" fillId="64" borderId="45" applyNumberFormat="0" applyProtection="0">
      <alignment horizontal="left" vertical="center" indent="1"/>
    </xf>
    <xf numFmtId="4" fontId="81" fillId="80" borderId="45" applyNumberFormat="0" applyProtection="0">
      <alignment horizontal="right" vertical="center"/>
    </xf>
    <xf numFmtId="193" fontId="111" fillId="45" borderId="47" applyNumberFormat="0" applyProtection="0">
      <alignment horizontal="right" vertical="center"/>
    </xf>
    <xf numFmtId="193" fontId="111" fillId="45" borderId="47" applyNumberFormat="0" applyProtection="0">
      <alignment horizontal="right" vertical="center"/>
    </xf>
    <xf numFmtId="193" fontId="111" fillId="45" borderId="47" applyNumberFormat="0" applyProtection="0">
      <alignment horizontal="right" vertical="center"/>
    </xf>
    <xf numFmtId="193" fontId="111" fillId="45" borderId="47" applyNumberFormat="0" applyProtection="0">
      <alignment horizontal="right" vertical="center"/>
    </xf>
    <xf numFmtId="4" fontId="79" fillId="80" borderId="45" applyNumberFormat="0" applyProtection="0">
      <alignment horizontal="right" vertical="center"/>
    </xf>
    <xf numFmtId="193" fontId="112" fillId="45" borderId="47" applyNumberFormat="0" applyProtection="0">
      <alignment horizontal="right" vertical="center"/>
    </xf>
    <xf numFmtId="193" fontId="112" fillId="45" borderId="47" applyNumberFormat="0" applyProtection="0">
      <alignment horizontal="right" vertical="center"/>
    </xf>
    <xf numFmtId="193" fontId="112" fillId="45" borderId="47" applyNumberFormat="0" applyProtection="0">
      <alignment horizontal="right" vertical="center"/>
    </xf>
    <xf numFmtId="193" fontId="112" fillId="45" borderId="47" applyNumberFormat="0" applyProtection="0">
      <alignment horizontal="right" vertical="center"/>
    </xf>
    <xf numFmtId="0" fontId="4" fillId="68" borderId="45" applyNumberFormat="0" applyProtection="0">
      <alignment horizontal="left" vertical="center" indent="1"/>
    </xf>
    <xf numFmtId="193" fontId="110" fillId="86" borderId="47" applyNumberFormat="0" applyProtection="0">
      <alignment horizontal="left" vertical="center" wrapText="1" indent="1"/>
    </xf>
    <xf numFmtId="193" fontId="110" fillId="86" borderId="47" applyNumberFormat="0" applyProtection="0">
      <alignment horizontal="left" vertical="center" wrapText="1" indent="1"/>
    </xf>
    <xf numFmtId="193" fontId="110" fillId="86" borderId="47" applyNumberFormat="0" applyProtection="0">
      <alignment horizontal="left" vertical="center" wrapText="1" indent="1"/>
    </xf>
    <xf numFmtId="193" fontId="110" fillId="86" borderId="47" applyNumberFormat="0" applyProtection="0">
      <alignment horizontal="left" vertical="center" wrapText="1" indent="1"/>
    </xf>
    <xf numFmtId="0" fontId="4" fillId="68" borderId="45" applyNumberFormat="0" applyProtection="0">
      <alignment horizontal="left" vertical="center" indent="1"/>
    </xf>
    <xf numFmtId="193" fontId="113" fillId="84" borderId="47" applyNumberFormat="0" applyProtection="0">
      <alignment horizontal="left" vertical="top" indent="1"/>
    </xf>
    <xf numFmtId="193" fontId="113" fillId="84" borderId="47" applyNumberFormat="0" applyProtection="0">
      <alignment horizontal="left" vertical="top" indent="1"/>
    </xf>
    <xf numFmtId="193" fontId="113" fillId="84" borderId="47" applyNumberFormat="0" applyProtection="0">
      <alignment horizontal="left" vertical="top" indent="1"/>
    </xf>
    <xf numFmtId="193" fontId="113" fillId="84" borderId="47" applyNumberFormat="0" applyProtection="0">
      <alignment horizontal="left" vertical="top" indent="1"/>
    </xf>
    <xf numFmtId="193" fontId="75" fillId="0" borderId="59" applyNumberFormat="0" applyFill="0" applyBorder="0" applyAlignment="0" applyProtection="0"/>
    <xf numFmtId="193" fontId="115" fillId="45" borderId="54" applyNumberFormat="0" applyProtection="0">
      <alignment horizontal="right" vertical="center"/>
    </xf>
    <xf numFmtId="4" fontId="83" fillId="80" borderId="45" applyNumberFormat="0" applyProtection="0">
      <alignment horizontal="right" vertical="center"/>
    </xf>
    <xf numFmtId="193" fontId="115" fillId="45" borderId="47" applyNumberFormat="0" applyProtection="0">
      <alignment horizontal="right" vertical="center"/>
    </xf>
    <xf numFmtId="193" fontId="115" fillId="45" borderId="47" applyNumberFormat="0" applyProtection="0">
      <alignment horizontal="right" vertical="center"/>
    </xf>
    <xf numFmtId="193" fontId="115" fillId="45" borderId="47" applyNumberFormat="0" applyProtection="0">
      <alignment horizontal="right" vertical="center"/>
    </xf>
    <xf numFmtId="193" fontId="115" fillId="45" borderId="47" applyNumberFormat="0" applyProtection="0">
      <alignment horizontal="right" vertical="center"/>
    </xf>
    <xf numFmtId="193" fontId="115" fillId="45" borderId="54" applyNumberFormat="0" applyProtection="0">
      <alignment horizontal="right" vertical="center"/>
    </xf>
    <xf numFmtId="193" fontId="112" fillId="45" borderId="68" applyNumberFormat="0" applyProtection="0">
      <alignment horizontal="right" vertical="center"/>
    </xf>
    <xf numFmtId="193" fontId="116" fillId="0" borderId="42" applyNumberFormat="0" applyFill="0" applyBorder="0" applyAlignment="0" applyProtection="0"/>
    <xf numFmtId="193" fontId="116" fillId="0" borderId="42" applyNumberFormat="0" applyFill="0" applyBorder="0" applyAlignment="0" applyProtection="0"/>
    <xf numFmtId="193" fontId="116" fillId="0" borderId="42" applyNumberFormat="0" applyFill="0" applyBorder="0" applyAlignment="0" applyProtection="0"/>
    <xf numFmtId="193" fontId="116" fillId="0" borderId="42" applyNumberFormat="0" applyFill="0" applyBorder="0" applyAlignment="0" applyProtection="0"/>
    <xf numFmtId="193" fontId="115" fillId="45" borderId="68" applyNumberFormat="0" applyProtection="0">
      <alignment horizontal="right" vertical="center"/>
    </xf>
    <xf numFmtId="193" fontId="8" fillId="62" borderId="61"/>
    <xf numFmtId="193" fontId="117" fillId="0" borderId="42" applyNumberFormat="0" applyFill="0" applyBorder="0" applyAlignment="0" applyProtection="0"/>
    <xf numFmtId="193" fontId="117" fillId="0" borderId="42" applyNumberFormat="0" applyFill="0" applyBorder="0" applyAlignment="0" applyProtection="0"/>
    <xf numFmtId="193" fontId="117" fillId="0" borderId="42" applyNumberFormat="0" applyFill="0" applyBorder="0" applyAlignment="0" applyProtection="0"/>
    <xf numFmtId="193" fontId="117" fillId="0" borderId="42" applyNumberFormat="0" applyFill="0" applyBorder="0" applyAlignment="0" applyProtection="0"/>
    <xf numFmtId="193" fontId="118" fillId="0" borderId="42" applyNumberFormat="0" applyFill="0" applyBorder="0" applyAlignment="0" applyProtection="0"/>
    <xf numFmtId="193" fontId="118" fillId="0" borderId="42" applyNumberFormat="0" applyFill="0" applyBorder="0" applyAlignment="0" applyProtection="0"/>
    <xf numFmtId="193" fontId="118" fillId="0" borderId="42" applyNumberFormat="0" applyFill="0" applyBorder="0" applyAlignment="0" applyProtection="0"/>
    <xf numFmtId="193" fontId="118" fillId="0" borderId="42" applyNumberFormat="0" applyFill="0" applyBorder="0" applyAlignment="0" applyProtection="0"/>
    <xf numFmtId="193" fontId="119" fillId="0" borderId="42" applyNumberFormat="0" applyFill="0" applyBorder="0" applyAlignment="0" applyProtection="0"/>
    <xf numFmtId="193" fontId="119" fillId="0" borderId="42" applyNumberFormat="0" applyFill="0" applyBorder="0" applyAlignment="0" applyProtection="0"/>
    <xf numFmtId="193" fontId="119" fillId="0" borderId="42" applyNumberFormat="0" applyFill="0" applyBorder="0" applyAlignment="0" applyProtection="0"/>
    <xf numFmtId="193" fontId="119" fillId="0" borderId="42" applyNumberForma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4" fillId="83" borderId="64" applyNumberFormat="0" applyProtection="0">
      <alignment horizontal="left" vertical="center" indent="1"/>
    </xf>
    <xf numFmtId="193" fontId="119" fillId="0" borderId="57" applyNumberFormat="0" applyFill="0" applyBorder="0" applyAlignment="0" applyProtection="0"/>
    <xf numFmtId="10" fontId="8" fillId="64" borderId="49" applyNumberFormat="0" applyBorder="0" applyAlignment="0" applyProtection="0"/>
    <xf numFmtId="0" fontId="4" fillId="62" borderId="53" applyNumberFormat="0" applyProtection="0">
      <alignment horizontal="left" vertical="center" indent="1"/>
    </xf>
    <xf numFmtId="4" fontId="79" fillId="64" borderId="53" applyNumberFormat="0" applyProtection="0">
      <alignment vertical="center"/>
    </xf>
    <xf numFmtId="0" fontId="4" fillId="83" borderId="53" applyNumberFormat="0" applyProtection="0">
      <alignment horizontal="left" vertical="center" indent="1"/>
    </xf>
    <xf numFmtId="193" fontId="111" fillId="45" borderId="54" applyNumberFormat="0" applyProtection="0">
      <alignment horizontal="right" vertical="center"/>
    </xf>
    <xf numFmtId="193" fontId="111" fillId="45" borderId="54" applyNumberFormat="0" applyProtection="0">
      <alignment horizontal="right" vertical="center"/>
    </xf>
    <xf numFmtId="4" fontId="81" fillId="67" borderId="64" applyNumberFormat="0" applyProtection="0">
      <alignment horizontal="left" vertical="center" indent="1"/>
    </xf>
    <xf numFmtId="4" fontId="81" fillId="83" borderId="64" applyNumberFormat="0" applyProtection="0">
      <alignment horizontal="left" vertical="center" indent="1"/>
    </xf>
    <xf numFmtId="193" fontId="112" fillId="45" borderId="66" applyNumberFormat="0" applyProtection="0">
      <alignment horizontal="right" vertical="center"/>
    </xf>
    <xf numFmtId="193" fontId="92" fillId="46" borderId="58" applyNumberFormat="0" applyAlignment="0" applyProtection="0"/>
    <xf numFmtId="0" fontId="4" fillId="85" borderId="53" applyNumberFormat="0" applyProtection="0">
      <alignment horizontal="left" vertical="center" indent="1"/>
    </xf>
    <xf numFmtId="0" fontId="4" fillId="68" borderId="53" applyNumberFormat="0" applyProtection="0">
      <alignment horizontal="left" vertical="center" indent="1"/>
    </xf>
    <xf numFmtId="4" fontId="81" fillId="64" borderId="53" applyNumberFormat="0" applyProtection="0">
      <alignment vertical="center"/>
    </xf>
    <xf numFmtId="0" fontId="4" fillId="68" borderId="64" applyNumberFormat="0" applyProtection="0">
      <alignment horizontal="left" vertical="center" indent="1"/>
    </xf>
    <xf numFmtId="4" fontId="81" fillId="64" borderId="64" applyNumberFormat="0" applyProtection="0">
      <alignment horizontal="left" vertical="center" indent="1"/>
    </xf>
    <xf numFmtId="193" fontId="119" fillId="0" borderId="59" applyNumberFormat="0" applyFill="0" applyBorder="0" applyAlignment="0" applyProtection="0"/>
    <xf numFmtId="193" fontId="111" fillId="45" borderId="68" applyNumberFormat="0" applyProtection="0">
      <alignment horizontal="right" vertical="center"/>
    </xf>
    <xf numFmtId="193" fontId="118" fillId="0" borderId="57" applyNumberFormat="0" applyFill="0" applyBorder="0" applyAlignment="0" applyProtection="0"/>
    <xf numFmtId="193" fontId="117" fillId="0" borderId="57" applyNumberFormat="0" applyFill="0" applyBorder="0" applyAlignment="0" applyProtection="0"/>
    <xf numFmtId="193" fontId="65" fillId="0" borderId="59" applyNumberFormat="0" applyFill="0" applyBorder="0" applyAlignment="0" applyProtection="0"/>
    <xf numFmtId="193" fontId="8" fillId="61" borderId="61"/>
    <xf numFmtId="193" fontId="92" fillId="46" borderId="60" applyNumberFormat="0" applyAlignment="0" applyProtection="0"/>
    <xf numFmtId="4" fontId="81" fillId="39" borderId="64" applyNumberFormat="0" applyProtection="0">
      <alignment horizontal="right" vertical="center"/>
    </xf>
    <xf numFmtId="4" fontId="81" fillId="77" borderId="64" applyNumberFormat="0" applyProtection="0">
      <alignment horizontal="right" vertical="center"/>
    </xf>
    <xf numFmtId="193" fontId="118" fillId="0" borderId="59" applyNumberFormat="0" applyFill="0" applyBorder="0" applyAlignment="0" applyProtection="0"/>
    <xf numFmtId="193" fontId="113" fillId="84" borderId="54" applyNumberFormat="0" applyProtection="0">
      <alignment horizontal="left" vertical="top" indent="1"/>
    </xf>
    <xf numFmtId="193" fontId="116" fillId="0" borderId="57" applyNumberFormat="0" applyFill="0" applyBorder="0" applyAlignment="0" applyProtection="0"/>
    <xf numFmtId="193" fontId="8" fillId="0" borderId="59" applyNumberFormat="0" applyFill="0" applyAlignment="0" applyProtection="0"/>
    <xf numFmtId="0" fontId="64" fillId="0" borderId="0"/>
    <xf numFmtId="193" fontId="96" fillId="0" borderId="57" applyNumberFormat="0" applyFill="0" applyBorder="0" applyAlignment="0" applyProtection="0"/>
    <xf numFmtId="193" fontId="119" fillId="0" borderId="50" applyNumberFormat="0" applyFill="0" applyBorder="0" applyAlignment="0" applyProtection="0"/>
    <xf numFmtId="193" fontId="119" fillId="0" borderId="50" applyNumberFormat="0" applyFill="0" applyBorder="0" applyAlignment="0" applyProtection="0"/>
    <xf numFmtId="193" fontId="118" fillId="0" borderId="50" applyNumberFormat="0" applyFill="0" applyBorder="0" applyAlignment="0" applyProtection="0"/>
    <xf numFmtId="193" fontId="118" fillId="0" borderId="50" applyNumberFormat="0" applyFill="0" applyBorder="0" applyAlignment="0" applyProtection="0"/>
    <xf numFmtId="193" fontId="117" fillId="0" borderId="50" applyNumberFormat="0" applyFill="0" applyBorder="0" applyAlignment="0" applyProtection="0"/>
    <xf numFmtId="193" fontId="117" fillId="0" borderId="50" applyNumberFormat="0" applyFill="0" applyBorder="0" applyAlignment="0" applyProtection="0"/>
    <xf numFmtId="193" fontId="96" fillId="0" borderId="57" applyNumberFormat="0" applyFill="0" applyBorder="0" applyAlignment="0" applyProtection="0"/>
    <xf numFmtId="193" fontId="116" fillId="0" borderId="50" applyNumberFormat="0" applyFill="0" applyBorder="0" applyAlignment="0" applyProtection="0"/>
    <xf numFmtId="193" fontId="116" fillId="0" borderId="50" applyNumberFormat="0" applyFill="0" applyBorder="0" applyAlignment="0" applyProtection="0"/>
    <xf numFmtId="193" fontId="22" fillId="65" borderId="63" applyNumberFormat="0" applyAlignment="0" applyProtection="0"/>
    <xf numFmtId="4" fontId="81" fillId="72" borderId="64" applyNumberFormat="0" applyProtection="0">
      <alignment horizontal="right" vertical="center"/>
    </xf>
    <xf numFmtId="0" fontId="4" fillId="68" borderId="64" applyNumberFormat="0" applyProtection="0">
      <alignment horizontal="left" vertical="center" indent="1"/>
    </xf>
    <xf numFmtId="4" fontId="81" fillId="64" borderId="64" applyNumberFormat="0" applyProtection="0">
      <alignment vertical="center"/>
    </xf>
    <xf numFmtId="193" fontId="113" fillId="84" borderId="68" applyNumberFormat="0" applyProtection="0">
      <alignment horizontal="left" vertical="top" indent="1"/>
    </xf>
    <xf numFmtId="193" fontId="112" fillId="45" borderId="68" applyNumberFormat="0" applyProtection="0">
      <alignment horizontal="right" vertical="center"/>
    </xf>
    <xf numFmtId="0" fontId="64" fillId="0" borderId="0"/>
    <xf numFmtId="193" fontId="119" fillId="0" borderId="57" applyNumberFormat="0" applyFill="0" applyBorder="0" applyAlignment="0" applyProtection="0"/>
    <xf numFmtId="193" fontId="117" fillId="0" borderId="57" applyNumberFormat="0" applyFill="0" applyBorder="0" applyAlignment="0" applyProtection="0"/>
    <xf numFmtId="193" fontId="8" fillId="62" borderId="56"/>
    <xf numFmtId="193" fontId="65" fillId="0" borderId="59" applyNumberFormat="0" applyFill="0" applyBorder="0" applyAlignment="0" applyProtection="0"/>
    <xf numFmtId="193" fontId="89" fillId="59" borderId="60" applyNumberFormat="0" applyAlignment="0" applyProtection="0"/>
    <xf numFmtId="193" fontId="110" fillId="86" borderId="66" applyNumberFormat="0" applyProtection="0">
      <alignment horizontal="left" vertical="center" wrapText="1" indent="1"/>
    </xf>
    <xf numFmtId="193" fontId="111" fillId="45" borderId="66" applyNumberFormat="0" applyProtection="0">
      <alignment horizontal="right" vertical="center"/>
    </xf>
    <xf numFmtId="193" fontId="112" fillId="45" borderId="66" applyNumberFormat="0" applyProtection="0">
      <alignment horizontal="right" vertical="center"/>
    </xf>
    <xf numFmtId="193" fontId="110" fillId="86" borderId="66" applyNumberFormat="0" applyProtection="0">
      <alignment horizontal="left" vertical="center" wrapText="1" indent="1"/>
    </xf>
    <xf numFmtId="4" fontId="83" fillId="80" borderId="64" applyNumberFormat="0" applyProtection="0">
      <alignment horizontal="right" vertical="center"/>
    </xf>
    <xf numFmtId="193" fontId="116" fillId="0" borderId="59" applyNumberFormat="0" applyFill="0" applyBorder="0" applyAlignment="0" applyProtection="0"/>
    <xf numFmtId="193" fontId="116" fillId="0" borderId="59" applyNumberFormat="0" applyFill="0" applyBorder="0" applyAlignment="0" applyProtection="0"/>
    <xf numFmtId="193" fontId="8" fillId="61" borderId="56"/>
    <xf numFmtId="193" fontId="117" fillId="0" borderId="59" applyNumberFormat="0" applyFill="0" applyBorder="0" applyAlignment="0" applyProtection="0"/>
    <xf numFmtId="193" fontId="118" fillId="0" borderId="59" applyNumberFormat="0" applyFill="0" applyBorder="0" applyAlignment="0" applyProtection="0"/>
    <xf numFmtId="9" fontId="64" fillId="0" borderId="0" applyFont="0" applyFill="0" applyBorder="0" applyAlignment="0" applyProtection="0"/>
    <xf numFmtId="193" fontId="113" fillId="84" borderId="68" applyNumberFormat="0" applyProtection="0">
      <alignment horizontal="left" vertical="top" indent="1"/>
    </xf>
    <xf numFmtId="193" fontId="75" fillId="0" borderId="57" applyNumberFormat="0" applyFill="0" applyBorder="0" applyAlignment="0" applyProtection="0"/>
    <xf numFmtId="193" fontId="65" fillId="0" borderId="57" applyNumberFormat="0" applyFill="0" applyBorder="0" applyAlignment="0" applyProtection="0"/>
    <xf numFmtId="193" fontId="22" fillId="65" borderId="52" applyNumberFormat="0" applyAlignment="0" applyProtection="0"/>
    <xf numFmtId="4" fontId="81" fillId="67" borderId="53" applyNumberFormat="0" applyProtection="0">
      <alignment horizontal="left" vertical="center" indent="1"/>
    </xf>
    <xf numFmtId="4" fontId="81" fillId="39" borderId="53" applyNumberFormat="0" applyProtection="0">
      <alignment horizontal="right" vertical="center"/>
    </xf>
    <xf numFmtId="4" fontId="81" fillId="76" borderId="53" applyNumberFormat="0" applyProtection="0">
      <alignment horizontal="right" vertical="center"/>
    </xf>
    <xf numFmtId="193" fontId="110" fillId="86" borderId="66" applyNumberFormat="0" applyProtection="0">
      <alignment horizontal="left" vertical="center" wrapText="1" indent="1"/>
    </xf>
    <xf numFmtId="193" fontId="113" fillId="84" borderId="66" applyNumberFormat="0" applyProtection="0">
      <alignment horizontal="left" vertical="top" indent="1"/>
    </xf>
    <xf numFmtId="0" fontId="4" fillId="85" borderId="53" applyNumberFormat="0" applyProtection="0">
      <alignment horizontal="left" vertical="center" indent="1"/>
    </xf>
    <xf numFmtId="0" fontId="4" fillId="68" borderId="53" applyNumberFormat="0" applyProtection="0">
      <alignment horizontal="left" vertical="center" indent="1"/>
    </xf>
    <xf numFmtId="4" fontId="81" fillId="64" borderId="53" applyNumberFormat="0" applyProtection="0">
      <alignment horizontal="left" vertical="center" indent="1"/>
    </xf>
    <xf numFmtId="193" fontId="111" fillId="45" borderId="54" applyNumberFormat="0" applyProtection="0">
      <alignment horizontal="right" vertical="center"/>
    </xf>
    <xf numFmtId="193" fontId="112" fillId="45" borderId="54" applyNumberFormat="0" applyProtection="0">
      <alignment horizontal="right" vertical="center"/>
    </xf>
    <xf numFmtId="0" fontId="4" fillId="68" borderId="53" applyNumberFormat="0" applyProtection="0">
      <alignment horizontal="left" vertical="center" indent="1"/>
    </xf>
    <xf numFmtId="193" fontId="92" fillId="46" borderId="51" applyNumberFormat="0" applyAlignment="0" applyProtection="0"/>
    <xf numFmtId="193" fontId="115" fillId="45" borderId="66" applyNumberFormat="0" applyProtection="0">
      <alignment horizontal="right" vertical="center"/>
    </xf>
    <xf numFmtId="193" fontId="115" fillId="45" borderId="54" applyNumberFormat="0" applyProtection="0">
      <alignment horizontal="right" vertical="center"/>
    </xf>
    <xf numFmtId="193" fontId="67" fillId="0" borderId="48">
      <alignment horizontal="left" vertical="center"/>
    </xf>
    <xf numFmtId="43" fontId="64" fillId="0" borderId="0" applyFont="0" applyFill="0" applyBorder="0" applyAlignment="0" applyProtection="0"/>
    <xf numFmtId="193" fontId="117" fillId="0" borderId="57" applyNumberFormat="0" applyFill="0" applyBorder="0" applyAlignment="0" applyProtection="0"/>
    <xf numFmtId="193" fontId="75" fillId="0" borderId="59" applyNumberFormat="0" applyFill="0" applyBorder="0" applyAlignment="0" applyProtection="0"/>
    <xf numFmtId="10" fontId="8" fillId="64" borderId="61" applyNumberFormat="0" applyBorder="0" applyAlignment="0" applyProtection="0"/>
    <xf numFmtId="193" fontId="89" fillId="59" borderId="51" applyNumberFormat="0" applyAlignment="0" applyProtection="0"/>
    <xf numFmtId="193" fontId="75" fillId="0" borderId="50" applyNumberFormat="0" applyFill="0" applyBorder="0" applyAlignment="0" applyProtection="0"/>
    <xf numFmtId="193" fontId="75" fillId="0" borderId="50" applyNumberFormat="0" applyFill="0" applyBorder="0" applyAlignment="0" applyProtection="0"/>
    <xf numFmtId="193" fontId="65" fillId="0" borderId="50" applyNumberFormat="0" applyFill="0" applyBorder="0" applyAlignment="0" applyProtection="0"/>
    <xf numFmtId="193" fontId="65" fillId="0" borderId="50" applyNumberFormat="0" applyFill="0" applyBorder="0" applyAlignment="0" applyProtection="0"/>
    <xf numFmtId="193" fontId="96" fillId="0" borderId="50" applyNumberFormat="0" applyFill="0" applyBorder="0" applyAlignment="0" applyProtection="0"/>
    <xf numFmtId="193" fontId="96" fillId="0" borderId="50" applyNumberFormat="0" applyFill="0" applyBorder="0" applyAlignment="0" applyProtection="0"/>
    <xf numFmtId="193" fontId="112" fillId="45" borderId="68" applyNumberFormat="0" applyProtection="0">
      <alignment horizontal="right" vertical="center"/>
    </xf>
    <xf numFmtId="193" fontId="22" fillId="65" borderId="67" applyNumberFormat="0" applyAlignment="0" applyProtection="0"/>
    <xf numFmtId="193" fontId="92" fillId="46" borderId="60" applyNumberFormat="0" applyAlignment="0" applyProtection="0"/>
    <xf numFmtId="193" fontId="67" fillId="0" borderId="62">
      <alignment horizontal="left" vertical="center"/>
    </xf>
    <xf numFmtId="193" fontId="8" fillId="0" borderId="59" applyNumberFormat="0" applyFill="0" applyAlignment="0" applyProtection="0"/>
    <xf numFmtId="193" fontId="65" fillId="0" borderId="59" applyNumberFormat="0" applyFill="0" applyBorder="0" applyAlignment="0" applyProtection="0"/>
    <xf numFmtId="193" fontId="96" fillId="0" borderId="59" applyNumberFormat="0" applyFill="0" applyBorder="0" applyAlignment="0" applyProtection="0"/>
    <xf numFmtId="193" fontId="117" fillId="0" borderId="57" applyNumberFormat="0" applyFill="0" applyBorder="0" applyAlignment="0" applyProtection="0"/>
    <xf numFmtId="193" fontId="118" fillId="0" borderId="57" applyNumberFormat="0" applyFill="0" applyBorder="0" applyAlignment="0" applyProtection="0"/>
    <xf numFmtId="43" fontId="64" fillId="0" borderId="0" applyFont="0" applyFill="0" applyBorder="0" applyAlignment="0" applyProtection="0"/>
    <xf numFmtId="0" fontId="4" fillId="68" borderId="64" applyNumberFormat="0" applyProtection="0">
      <alignment horizontal="left" vertical="center" indent="1"/>
    </xf>
    <xf numFmtId="193" fontId="111" fillId="45" borderId="68" applyNumberFormat="0" applyProtection="0">
      <alignment horizontal="right" vertical="center"/>
    </xf>
    <xf numFmtId="193" fontId="110" fillId="86" borderId="68" applyNumberFormat="0" applyProtection="0">
      <alignment horizontal="left" vertical="center" wrapText="1" indent="1"/>
    </xf>
    <xf numFmtId="193" fontId="89" fillId="59" borderId="58" applyNumberFormat="0" applyAlignment="0" applyProtection="0"/>
    <xf numFmtId="193" fontId="8" fillId="0" borderId="57" applyNumberFormat="0" applyFill="0" applyAlignment="0" applyProtection="0"/>
    <xf numFmtId="193" fontId="75" fillId="0" borderId="57" applyNumberFormat="0" applyFill="0" applyBorder="0" applyAlignment="0" applyProtection="0"/>
    <xf numFmtId="193" fontId="75" fillId="0" borderId="57" applyNumberFormat="0" applyFill="0" applyBorder="0" applyAlignment="0" applyProtection="0"/>
    <xf numFmtId="193" fontId="65" fillId="0" borderId="57" applyNumberFormat="0" applyFill="0" applyBorder="0" applyAlignment="0" applyProtection="0"/>
    <xf numFmtId="193" fontId="65" fillId="0" borderId="57" applyNumberFormat="0" applyFill="0" applyBorder="0" applyAlignment="0" applyProtection="0"/>
    <xf numFmtId="193" fontId="110" fillId="86" borderId="68" applyNumberFormat="0" applyProtection="0">
      <alignment horizontal="left" vertical="center" wrapText="1" indent="1"/>
    </xf>
    <xf numFmtId="10" fontId="8" fillId="64" borderId="69" applyNumberFormat="0" applyBorder="0" applyAlignment="0" applyProtection="0"/>
  </cellStyleXfs>
  <cellXfs count="436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3" applyFont="1"/>
    <xf numFmtId="0" fontId="9" fillId="0" borderId="2" xfId="4" applyFont="1" applyBorder="1"/>
    <xf numFmtId="0" fontId="10" fillId="0" borderId="0" xfId="4" applyFont="1" applyAlignment="1">
      <alignment horizontal="right"/>
    </xf>
    <xf numFmtId="0" fontId="10" fillId="0" borderId="0" xfId="4" applyFont="1"/>
    <xf numFmtId="0" fontId="8" fillId="0" borderId="0" xfId="4"/>
    <xf numFmtId="0" fontId="11" fillId="0" borderId="0" xfId="0" applyFont="1"/>
    <xf numFmtId="0" fontId="12" fillId="2" borderId="0" xfId="5" applyFont="1" applyFill="1" applyBorder="1" applyAlignment="1">
      <alignment horizontal="left"/>
    </xf>
    <xf numFmtId="0" fontId="12" fillId="2" borderId="2" xfId="5" applyFont="1" applyFill="1" applyBorder="1" applyAlignment="1">
      <alignment horizontal="right"/>
    </xf>
    <xf numFmtId="0" fontId="12" fillId="0" borderId="0" xfId="5" applyFont="1" applyFill="1" applyBorder="1" applyAlignment="1">
      <alignment horizontal="right"/>
    </xf>
    <xf numFmtId="0" fontId="12" fillId="2" borderId="0" xfId="5" applyFont="1" applyFill="1" applyBorder="1" applyAlignment="1">
      <alignment horizontal="right"/>
    </xf>
    <xf numFmtId="0" fontId="13" fillId="0" borderId="0" xfId="4" applyFont="1"/>
    <xf numFmtId="0" fontId="14" fillId="0" borderId="0" xfId="4" applyFont="1"/>
    <xf numFmtId="0" fontId="15" fillId="0" borderId="2" xfId="4" applyFont="1" applyBorder="1" applyAlignment="1">
      <alignment horizontal="left"/>
    </xf>
    <xf numFmtId="187" fontId="15" fillId="0" borderId="2" xfId="1" applyNumberFormat="1" applyFont="1" applyFill="1" applyBorder="1" applyAlignment="1">
      <alignment horizontal="right"/>
    </xf>
    <xf numFmtId="187" fontId="15" fillId="0" borderId="0" xfId="1" applyNumberFormat="1" applyFont="1" applyFill="1" applyBorder="1" applyAlignment="1">
      <alignment horizontal="right"/>
    </xf>
    <xf numFmtId="187" fontId="15" fillId="0" borderId="3" xfId="1" applyNumberFormat="1" applyFont="1" applyFill="1" applyBorder="1" applyAlignment="1">
      <alignment horizontal="right"/>
    </xf>
    <xf numFmtId="187" fontId="15" fillId="0" borderId="0" xfId="1" applyNumberFormat="1" applyFont="1" applyAlignment="1">
      <alignment horizontal="right"/>
    </xf>
    <xf numFmtId="187" fontId="15" fillId="0" borderId="0" xfId="1" applyNumberFormat="1" applyFont="1" applyFill="1" applyBorder="1"/>
    <xf numFmtId="188" fontId="15" fillId="0" borderId="0" xfId="2" applyNumberFormat="1" applyFont="1" applyFill="1" applyBorder="1"/>
    <xf numFmtId="188" fontId="16" fillId="0" borderId="0" xfId="2" applyNumberFormat="1" applyFont="1"/>
    <xf numFmtId="0" fontId="17" fillId="0" borderId="0" xfId="4" applyFont="1"/>
    <xf numFmtId="188" fontId="15" fillId="0" borderId="4" xfId="2" applyNumberFormat="1" applyFont="1" applyFill="1" applyBorder="1"/>
    <xf numFmtId="0" fontId="15" fillId="0" borderId="5" xfId="4" applyFont="1" applyBorder="1" applyAlignment="1">
      <alignment horizontal="left"/>
    </xf>
    <xf numFmtId="3" fontId="15" fillId="0" borderId="5" xfId="4" applyNumberFormat="1" applyFont="1" applyBorder="1" applyAlignment="1">
      <alignment horizontal="right"/>
    </xf>
    <xf numFmtId="3" fontId="15" fillId="0" borderId="6" xfId="4" applyNumberFormat="1" applyFont="1" applyBorder="1" applyAlignment="1">
      <alignment horizontal="right"/>
    </xf>
    <xf numFmtId="187" fontId="15" fillId="0" borderId="5" xfId="1" applyNumberFormat="1" applyFont="1" applyFill="1" applyBorder="1" applyAlignment="1">
      <alignment horizontal="right"/>
    </xf>
    <xf numFmtId="187" fontId="15" fillId="0" borderId="6" xfId="1" applyNumberFormat="1" applyFont="1" applyFill="1" applyBorder="1" applyAlignment="1">
      <alignment horizontal="right"/>
    </xf>
    <xf numFmtId="187" fontId="15" fillId="0" borderId="7" xfId="1" applyNumberFormat="1" applyFont="1" applyFill="1" applyBorder="1" applyAlignment="1">
      <alignment horizontal="right"/>
    </xf>
    <xf numFmtId="187" fontId="15" fillId="0" borderId="6" xfId="1" applyNumberFormat="1" applyFont="1" applyBorder="1" applyAlignment="1">
      <alignment horizontal="right"/>
    </xf>
    <xf numFmtId="3" fontId="15" fillId="0" borderId="0" xfId="4" applyNumberFormat="1" applyFont="1"/>
    <xf numFmtId="188" fontId="15" fillId="0" borderId="6" xfId="2" applyNumberFormat="1" applyFont="1" applyFill="1" applyBorder="1"/>
    <xf numFmtId="0" fontId="15" fillId="0" borderId="0" xfId="4" applyFont="1" applyAlignment="1">
      <alignment horizontal="left"/>
    </xf>
    <xf numFmtId="3" fontId="15" fillId="0" borderId="2" xfId="4" applyNumberFormat="1" applyFont="1" applyBorder="1" applyAlignment="1">
      <alignment horizontal="right"/>
    </xf>
    <xf numFmtId="3" fontId="15" fillId="0" borderId="0" xfId="4" applyNumberFormat="1" applyFont="1" applyAlignment="1">
      <alignment horizontal="right"/>
    </xf>
    <xf numFmtId="3" fontId="15" fillId="0" borderId="3" xfId="4" applyNumberFormat="1" applyFont="1" applyBorder="1" applyAlignment="1">
      <alignment horizontal="right"/>
    </xf>
    <xf numFmtId="9" fontId="15" fillId="0" borderId="0" xfId="2" applyFont="1" applyAlignment="1">
      <alignment horizontal="right"/>
    </xf>
    <xf numFmtId="9" fontId="15" fillId="0" borderId="0" xfId="2" applyFont="1" applyFill="1" applyBorder="1" applyAlignment="1">
      <alignment horizontal="right"/>
    </xf>
    <xf numFmtId="0" fontId="10" fillId="0" borderId="2" xfId="4" applyFont="1" applyBorder="1" applyAlignment="1">
      <alignment horizontal="left"/>
    </xf>
    <xf numFmtId="3" fontId="10" fillId="0" borderId="2" xfId="4" applyNumberFormat="1" applyFont="1" applyBorder="1" applyAlignment="1">
      <alignment horizontal="right"/>
    </xf>
    <xf numFmtId="3" fontId="10" fillId="0" borderId="0" xfId="4" applyNumberFormat="1" applyFont="1"/>
    <xf numFmtId="3" fontId="10" fillId="0" borderId="2" xfId="4" applyNumberFormat="1" applyFont="1" applyBorder="1"/>
    <xf numFmtId="187" fontId="10" fillId="0" borderId="2" xfId="1" applyNumberFormat="1" applyFont="1" applyFill="1" applyBorder="1"/>
    <xf numFmtId="187" fontId="10" fillId="0" borderId="0" xfId="1" applyNumberFormat="1" applyFont="1" applyFill="1" applyBorder="1"/>
    <xf numFmtId="187" fontId="10" fillId="0" borderId="3" xfId="1" applyNumberFormat="1" applyFont="1" applyFill="1" applyBorder="1"/>
    <xf numFmtId="187" fontId="10" fillId="0" borderId="0" xfId="1" applyNumberFormat="1" applyFont="1"/>
    <xf numFmtId="9" fontId="15" fillId="0" borderId="4" xfId="2" applyFont="1" applyFill="1" applyBorder="1"/>
    <xf numFmtId="9" fontId="16" fillId="0" borderId="0" xfId="2" applyFont="1"/>
    <xf numFmtId="3" fontId="15" fillId="0" borderId="6" xfId="4" applyNumberFormat="1" applyFont="1" applyBorder="1"/>
    <xf numFmtId="3" fontId="15" fillId="0" borderId="5" xfId="4" applyNumberFormat="1" applyFont="1" applyBorder="1"/>
    <xf numFmtId="187" fontId="15" fillId="0" borderId="5" xfId="1" applyNumberFormat="1" applyFont="1" applyFill="1" applyBorder="1"/>
    <xf numFmtId="187" fontId="15" fillId="0" borderId="6" xfId="1" applyNumberFormat="1" applyFont="1" applyFill="1" applyBorder="1"/>
    <xf numFmtId="187" fontId="15" fillId="0" borderId="7" xfId="1" applyNumberFormat="1" applyFont="1" applyFill="1" applyBorder="1"/>
    <xf numFmtId="187" fontId="10" fillId="0" borderId="6" xfId="1" applyNumberFormat="1" applyFont="1" applyFill="1" applyBorder="1"/>
    <xf numFmtId="187" fontId="10" fillId="0" borderId="5" xfId="1" applyNumberFormat="1" applyFont="1" applyFill="1" applyBorder="1"/>
    <xf numFmtId="187" fontId="10" fillId="0" borderId="6" xfId="1" applyNumberFormat="1" applyFont="1" applyBorder="1"/>
    <xf numFmtId="0" fontId="15" fillId="0" borderId="2" xfId="4" applyFont="1" applyBorder="1" applyAlignment="1">
      <alignment horizontal="left" indent="1"/>
    </xf>
    <xf numFmtId="3" fontId="15" fillId="0" borderId="2" xfId="4" applyNumberFormat="1" applyFont="1" applyBorder="1"/>
    <xf numFmtId="3" fontId="15" fillId="0" borderId="3" xfId="4" applyNumberFormat="1" applyFont="1" applyBorder="1"/>
    <xf numFmtId="0" fontId="10" fillId="0" borderId="2" xfId="4" applyFont="1" applyBorder="1" applyAlignment="1">
      <alignment horizontal="right"/>
    </xf>
    <xf numFmtId="0" fontId="10" fillId="0" borderId="2" xfId="4" applyFont="1" applyBorder="1"/>
    <xf numFmtId="0" fontId="10" fillId="0" borderId="3" xfId="4" applyFont="1" applyBorder="1"/>
    <xf numFmtId="0" fontId="10" fillId="0" borderId="0" xfId="0" applyFont="1"/>
    <xf numFmtId="9" fontId="15" fillId="3" borderId="0" xfId="2" applyFont="1" applyFill="1" applyBorder="1" applyAlignment="1">
      <alignment horizontal="right"/>
    </xf>
    <xf numFmtId="189" fontId="10" fillId="3" borderId="2" xfId="1" applyNumberFormat="1" applyFont="1" applyFill="1" applyBorder="1"/>
    <xf numFmtId="9" fontId="15" fillId="3" borderId="0" xfId="2" applyFont="1" applyFill="1" applyBorder="1"/>
    <xf numFmtId="189" fontId="10" fillId="3" borderId="0" xfId="1" applyNumberFormat="1" applyFont="1" applyFill="1" applyBorder="1"/>
    <xf numFmtId="187" fontId="10" fillId="0" borderId="2" xfId="1" applyNumberFormat="1" applyFont="1" applyBorder="1"/>
    <xf numFmtId="187" fontId="10" fillId="0" borderId="3" xfId="1" applyNumberFormat="1" applyFont="1" applyBorder="1"/>
    <xf numFmtId="0" fontId="16" fillId="0" borderId="2" xfId="4" applyFont="1" applyBorder="1" applyAlignment="1">
      <alignment horizontal="left"/>
    </xf>
    <xf numFmtId="9" fontId="10" fillId="0" borderId="2" xfId="2" applyFont="1" applyFill="1" applyBorder="1" applyAlignment="1">
      <alignment horizontal="right"/>
    </xf>
    <xf numFmtId="9" fontId="10" fillId="0" borderId="0" xfId="2" applyFont="1" applyBorder="1"/>
    <xf numFmtId="9" fontId="10" fillId="0" borderId="2" xfId="2" applyFont="1" applyFill="1" applyBorder="1"/>
    <xf numFmtId="9" fontId="10" fillId="0" borderId="3" xfId="2" applyFont="1" applyBorder="1"/>
    <xf numFmtId="9" fontId="10" fillId="0" borderId="2" xfId="2" applyFont="1" applyBorder="1"/>
    <xf numFmtId="9" fontId="10" fillId="0" borderId="0" xfId="2" applyFont="1" applyFill="1" applyBorder="1"/>
    <xf numFmtId="9" fontId="10" fillId="0" borderId="0" xfId="2" applyFont="1"/>
    <xf numFmtId="9" fontId="15" fillId="0" borderId="2" xfId="2" applyFont="1" applyFill="1" applyBorder="1" applyAlignment="1">
      <alignment horizontal="right"/>
    </xf>
    <xf numFmtId="9" fontId="18" fillId="0" borderId="0" xfId="2" applyFont="1"/>
    <xf numFmtId="9" fontId="15" fillId="0" borderId="2" xfId="2" applyFont="1" applyFill="1" applyBorder="1"/>
    <xf numFmtId="9" fontId="18" fillId="0" borderId="3" xfId="2" applyFont="1" applyBorder="1"/>
    <xf numFmtId="9" fontId="18" fillId="0" borderId="0" xfId="2" applyFont="1" applyBorder="1"/>
    <xf numFmtId="9" fontId="18" fillId="0" borderId="2" xfId="2" applyFont="1" applyBorder="1"/>
    <xf numFmtId="9" fontId="18" fillId="0" borderId="0" xfId="2" applyFont="1" applyFill="1"/>
    <xf numFmtId="0" fontId="18" fillId="0" borderId="0" xfId="0" applyFont="1"/>
    <xf numFmtId="189" fontId="10" fillId="0" borderId="2" xfId="1" applyNumberFormat="1" applyFont="1" applyFill="1" applyBorder="1" applyAlignment="1">
      <alignment horizontal="right"/>
    </xf>
    <xf numFmtId="189" fontId="10" fillId="0" borderId="0" xfId="1" applyNumberFormat="1" applyFont="1" applyFill="1" applyBorder="1"/>
    <xf numFmtId="189" fontId="10" fillId="0" borderId="2" xfId="1" applyNumberFormat="1" applyFont="1" applyFill="1" applyBorder="1"/>
    <xf numFmtId="189" fontId="10" fillId="0" borderId="3" xfId="1" applyNumberFormat="1" applyFont="1" applyFill="1" applyBorder="1"/>
    <xf numFmtId="189" fontId="10" fillId="3" borderId="0" xfId="1" applyNumberFormat="1" applyFont="1" applyFill="1"/>
    <xf numFmtId="0" fontId="10" fillId="0" borderId="8" xfId="4" applyFont="1" applyBorder="1" applyAlignment="1">
      <alignment horizontal="left"/>
    </xf>
    <xf numFmtId="189" fontId="10" fillId="0" borderId="8" xfId="1" applyNumberFormat="1" applyFont="1" applyFill="1" applyBorder="1" applyAlignment="1">
      <alignment horizontal="right"/>
    </xf>
    <xf numFmtId="189" fontId="10" fillId="0" borderId="4" xfId="1" applyNumberFormat="1" applyFont="1" applyFill="1" applyBorder="1"/>
    <xf numFmtId="189" fontId="10" fillId="0" borderId="8" xfId="1" applyNumberFormat="1" applyFont="1" applyFill="1" applyBorder="1"/>
    <xf numFmtId="0" fontId="10" fillId="0" borderId="5" xfId="4" applyFont="1" applyBorder="1" applyAlignment="1">
      <alignment horizontal="left"/>
    </xf>
    <xf numFmtId="189" fontId="10" fillId="0" borderId="5" xfId="1" applyNumberFormat="1" applyFont="1" applyFill="1" applyBorder="1" applyAlignment="1">
      <alignment horizontal="right"/>
    </xf>
    <xf numFmtId="189" fontId="10" fillId="0" borderId="6" xfId="1" applyNumberFormat="1" applyFont="1" applyFill="1" applyBorder="1"/>
    <xf numFmtId="189" fontId="10" fillId="0" borderId="5" xfId="1" applyNumberFormat="1" applyFont="1" applyFill="1" applyBorder="1"/>
    <xf numFmtId="189" fontId="10" fillId="0" borderId="7" xfId="1" applyNumberFormat="1" applyFont="1" applyFill="1" applyBorder="1"/>
    <xf numFmtId="189" fontId="10" fillId="3" borderId="6" xfId="1" applyNumberFormat="1" applyFont="1" applyFill="1" applyBorder="1"/>
    <xf numFmtId="189" fontId="10" fillId="3" borderId="5" xfId="1" applyNumberFormat="1" applyFont="1" applyFill="1" applyBorder="1"/>
    <xf numFmtId="9" fontId="10" fillId="0" borderId="3" xfId="2" applyFont="1" applyFill="1" applyBorder="1"/>
    <xf numFmtId="0" fontId="19" fillId="0" borderId="2" xfId="4" applyFont="1" applyBorder="1" applyAlignment="1">
      <alignment horizontal="left"/>
    </xf>
    <xf numFmtId="188" fontId="15" fillId="0" borderId="2" xfId="2" applyNumberFormat="1" applyFont="1" applyFill="1" applyBorder="1" applyAlignment="1">
      <alignment horizontal="right"/>
    </xf>
    <xf numFmtId="188" fontId="15" fillId="0" borderId="2" xfId="2" applyNumberFormat="1" applyFont="1" applyFill="1" applyBorder="1"/>
    <xf numFmtId="188" fontId="15" fillId="0" borderId="3" xfId="2" applyNumberFormat="1" applyFont="1" applyFill="1" applyBorder="1"/>
    <xf numFmtId="188" fontId="15" fillId="0" borderId="0" xfId="2" applyNumberFormat="1" applyFont="1" applyFill="1"/>
    <xf numFmtId="188" fontId="15" fillId="0" borderId="2" xfId="6" applyNumberFormat="1" applyFont="1" applyFill="1" applyBorder="1" applyAlignment="1">
      <alignment horizontal="right" vertical="center"/>
    </xf>
    <xf numFmtId="188" fontId="15" fillId="0" borderId="0" xfId="6" applyNumberFormat="1" applyFont="1" applyFill="1" applyBorder="1" applyAlignment="1">
      <alignment vertical="center"/>
    </xf>
    <xf numFmtId="188" fontId="15" fillId="0" borderId="2" xfId="6" applyNumberFormat="1" applyFont="1" applyFill="1" applyBorder="1" applyAlignment="1">
      <alignment vertical="center"/>
    </xf>
    <xf numFmtId="188" fontId="15" fillId="0" borderId="3" xfId="6" applyNumberFormat="1" applyFont="1" applyFill="1" applyBorder="1" applyAlignment="1">
      <alignment vertical="center"/>
    </xf>
    <xf numFmtId="188" fontId="15" fillId="0" borderId="0" xfId="6" applyNumberFormat="1" applyFont="1" applyFill="1" applyAlignment="1">
      <alignment vertical="center"/>
    </xf>
    <xf numFmtId="188" fontId="15" fillId="0" borderId="5" xfId="2" applyNumberFormat="1" applyFont="1" applyFill="1" applyBorder="1" applyAlignment="1">
      <alignment horizontal="left"/>
    </xf>
    <xf numFmtId="188" fontId="15" fillId="0" borderId="5" xfId="2" applyNumberFormat="1" applyFont="1" applyFill="1" applyBorder="1" applyAlignment="1">
      <alignment horizontal="right"/>
    </xf>
    <xf numFmtId="188" fontId="15" fillId="0" borderId="5" xfId="2" applyNumberFormat="1" applyFont="1" applyFill="1" applyBorder="1"/>
    <xf numFmtId="188" fontId="10" fillId="0" borderId="7" xfId="2" applyNumberFormat="1" applyFont="1" applyFill="1" applyBorder="1"/>
    <xf numFmtId="188" fontId="10" fillId="0" borderId="6" xfId="2" applyNumberFormat="1" applyFont="1" applyFill="1" applyBorder="1"/>
    <xf numFmtId="188" fontId="10" fillId="0" borderId="5" xfId="2" applyNumberFormat="1" applyFont="1" applyFill="1" applyBorder="1"/>
    <xf numFmtId="188" fontId="15" fillId="0" borderId="2" xfId="2" applyNumberFormat="1" applyFont="1" applyFill="1" applyBorder="1" applyAlignment="1">
      <alignment horizontal="left"/>
    </xf>
    <xf numFmtId="188" fontId="15" fillId="0" borderId="2" xfId="2" applyNumberFormat="1" applyFont="1" applyBorder="1" applyAlignment="1">
      <alignment horizontal="right"/>
    </xf>
    <xf numFmtId="188" fontId="15" fillId="0" borderId="0" xfId="2" applyNumberFormat="1" applyFont="1"/>
    <xf numFmtId="188" fontId="15" fillId="0" borderId="2" xfId="2" applyNumberFormat="1" applyFont="1" applyBorder="1"/>
    <xf numFmtId="188" fontId="15" fillId="0" borderId="3" xfId="2" applyNumberFormat="1" applyFont="1" applyBorder="1"/>
    <xf numFmtId="188" fontId="15" fillId="0" borderId="0" xfId="2" applyNumberFormat="1" applyFont="1" applyBorder="1"/>
    <xf numFmtId="0" fontId="15" fillId="0" borderId="2" xfId="6" applyNumberFormat="1" applyFont="1" applyFill="1" applyBorder="1" applyAlignment="1">
      <alignment vertical="center"/>
    </xf>
    <xf numFmtId="0" fontId="10" fillId="0" borderId="2" xfId="5" applyFont="1" applyFill="1" applyBorder="1" applyAlignment="1">
      <alignment horizontal="left"/>
    </xf>
    <xf numFmtId="3" fontId="10" fillId="0" borderId="3" xfId="4" applyNumberFormat="1" applyFont="1" applyBorder="1"/>
    <xf numFmtId="3" fontId="20" fillId="3" borderId="3" xfId="4" applyNumberFormat="1" applyFont="1" applyFill="1" applyBorder="1"/>
    <xf numFmtId="3" fontId="20" fillId="3" borderId="0" xfId="4" applyNumberFormat="1" applyFont="1" applyFill="1"/>
    <xf numFmtId="3" fontId="20" fillId="3" borderId="2" xfId="4" applyNumberFormat="1" applyFont="1" applyFill="1" applyBorder="1"/>
    <xf numFmtId="188" fontId="15" fillId="0" borderId="0" xfId="2" applyNumberFormat="1" applyFont="1" applyFill="1" applyBorder="1" applyAlignment="1">
      <alignment horizontal="right"/>
    </xf>
    <xf numFmtId="3" fontId="10" fillId="0" borderId="5" xfId="4" applyNumberFormat="1" applyFont="1" applyBorder="1" applyAlignment="1">
      <alignment horizontal="right"/>
    </xf>
    <xf numFmtId="3" fontId="10" fillId="0" borderId="6" xfId="4" applyNumberFormat="1" applyFont="1" applyBorder="1"/>
    <xf numFmtId="3" fontId="10" fillId="0" borderId="5" xfId="4" applyNumberFormat="1" applyFont="1" applyBorder="1"/>
    <xf numFmtId="3" fontId="10" fillId="0" borderId="7" xfId="4" applyNumberFormat="1" applyFont="1" applyBorder="1"/>
    <xf numFmtId="0" fontId="15" fillId="0" borderId="2" xfId="4" applyFont="1" applyBorder="1" applyAlignment="1">
      <alignment horizontal="right"/>
    </xf>
    <xf numFmtId="0" fontId="15" fillId="0" borderId="0" xfId="4" applyFont="1" applyAlignment="1">
      <alignment horizontal="right"/>
    </xf>
    <xf numFmtId="1" fontId="15" fillId="0" borderId="0" xfId="4" applyNumberFormat="1" applyFont="1" applyAlignment="1">
      <alignment horizontal="right"/>
    </xf>
    <xf numFmtId="1" fontId="10" fillId="0" borderId="0" xfId="4" applyNumberFormat="1" applyFont="1"/>
    <xf numFmtId="1" fontId="10" fillId="0" borderId="2" xfId="4" applyNumberFormat="1" applyFont="1" applyBorder="1"/>
    <xf numFmtId="1" fontId="10" fillId="0" borderId="3" xfId="4" applyNumberFormat="1" applyFont="1" applyBorder="1"/>
    <xf numFmtId="0" fontId="15" fillId="0" borderId="0" xfId="4" applyFont="1"/>
    <xf numFmtId="187" fontId="16" fillId="0" borderId="0" xfId="1" applyNumberFormat="1" applyFont="1"/>
    <xf numFmtId="0" fontId="15" fillId="0" borderId="5" xfId="4" applyFont="1" applyBorder="1" applyAlignment="1">
      <alignment horizontal="right"/>
    </xf>
    <xf numFmtId="0" fontId="15" fillId="0" borderId="6" xfId="4" applyFont="1" applyBorder="1" applyAlignment="1">
      <alignment horizontal="right"/>
    </xf>
    <xf numFmtId="1" fontId="15" fillId="0" borderId="6" xfId="4" applyNumberFormat="1" applyFont="1" applyBorder="1" applyAlignment="1">
      <alignment horizontal="right"/>
    </xf>
    <xf numFmtId="0" fontId="10" fillId="0" borderId="7" xfId="4" applyFont="1" applyBorder="1"/>
    <xf numFmtId="1" fontId="10" fillId="0" borderId="6" xfId="4" applyNumberFormat="1" applyFont="1" applyBorder="1"/>
    <xf numFmtId="1" fontId="10" fillId="0" borderId="5" xfId="4" applyNumberFormat="1" applyFont="1" applyBorder="1"/>
    <xf numFmtId="1" fontId="10" fillId="0" borderId="7" xfId="4" applyNumberFormat="1" applyFont="1" applyBorder="1"/>
    <xf numFmtId="187" fontId="10" fillId="0" borderId="2" xfId="7" applyNumberFormat="1" applyFont="1" applyBorder="1" applyAlignment="1">
      <alignment horizontal="right"/>
    </xf>
    <xf numFmtId="0" fontId="23" fillId="0" borderId="0" xfId="4" applyFont="1"/>
    <xf numFmtId="187" fontId="10" fillId="0" borderId="2" xfId="7" applyNumberFormat="1" applyFont="1" applyBorder="1"/>
    <xf numFmtId="0" fontId="23" fillId="0" borderId="3" xfId="4" applyFont="1" applyBorder="1"/>
    <xf numFmtId="0" fontId="23" fillId="0" borderId="2" xfId="4" applyFont="1" applyBorder="1"/>
    <xf numFmtId="0" fontId="24" fillId="0" borderId="0" xfId="4" applyFont="1" applyAlignment="1">
      <alignment horizontal="left"/>
    </xf>
    <xf numFmtId="187" fontId="10" fillId="0" borderId="2" xfId="1" applyNumberFormat="1" applyFont="1" applyFill="1" applyBorder="1" applyAlignment="1">
      <alignment horizontal="right"/>
    </xf>
    <xf numFmtId="0" fontId="18" fillId="0" borderId="6" xfId="0" applyFont="1" applyBorder="1" applyAlignment="1">
      <alignment horizontal="left"/>
    </xf>
    <xf numFmtId="9" fontId="10" fillId="0" borderId="5" xfId="2" applyFont="1" applyFill="1" applyBorder="1" applyAlignment="1">
      <alignment horizontal="right"/>
    </xf>
    <xf numFmtId="9" fontId="10" fillId="0" borderId="6" xfId="2" applyFont="1" applyBorder="1"/>
    <xf numFmtId="187" fontId="10" fillId="0" borderId="5" xfId="1" applyNumberFormat="1" applyFont="1" applyBorder="1"/>
    <xf numFmtId="187" fontId="10" fillId="0" borderId="7" xfId="1" applyNumberFormat="1" applyFont="1" applyBorder="1"/>
    <xf numFmtId="187" fontId="10" fillId="0" borderId="0" xfId="4" applyNumberFormat="1" applyFont="1"/>
    <xf numFmtId="17" fontId="25" fillId="0" borderId="2" xfId="3" applyNumberFormat="1" applyFont="1" applyFill="1" applyBorder="1" applyAlignment="1" applyProtection="1"/>
    <xf numFmtId="0" fontId="26" fillId="0" borderId="0" xfId="0" applyFont="1"/>
    <xf numFmtId="0" fontId="18" fillId="0" borderId="0" xfId="0" applyFont="1" applyAlignment="1">
      <alignment horizontal="right"/>
    </xf>
    <xf numFmtId="17" fontId="27" fillId="0" borderId="2" xfId="8" applyNumberFormat="1" applyFill="1" applyBorder="1" applyAlignment="1" applyProtection="1"/>
    <xf numFmtId="0" fontId="26" fillId="0" borderId="0" xfId="0" applyFont="1" applyAlignment="1">
      <alignment horizontal="right"/>
    </xf>
    <xf numFmtId="0" fontId="28" fillId="2" borderId="0" xfId="5" applyFont="1" applyFill="1" applyBorder="1" applyAlignment="1">
      <alignment horizontal="right"/>
    </xf>
    <xf numFmtId="0" fontId="28" fillId="2" borderId="0" xfId="5" applyFont="1" applyFill="1" applyAlignment="1">
      <alignment horizontal="right"/>
    </xf>
    <xf numFmtId="188" fontId="17" fillId="0" borderId="0" xfId="2" applyNumberFormat="1" applyFont="1"/>
    <xf numFmtId="0" fontId="8" fillId="2" borderId="0" xfId="4" applyFill="1"/>
    <xf numFmtId="0" fontId="8" fillId="0" borderId="2" xfId="4" applyBorder="1"/>
    <xf numFmtId="0" fontId="8" fillId="0" borderId="0" xfId="4" applyAlignment="1">
      <alignment horizontal="right"/>
    </xf>
    <xf numFmtId="43" fontId="8" fillId="0" borderId="0" xfId="1" applyFont="1"/>
    <xf numFmtId="0" fontId="16" fillId="0" borderId="0" xfId="0" applyFont="1"/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right" vertical="center" wrapText="1"/>
    </xf>
    <xf numFmtId="0" fontId="29" fillId="0" borderId="0" xfId="4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9" fillId="4" borderId="0" xfId="4" applyFont="1" applyFill="1" applyAlignment="1">
      <alignment horizontal="right" vertical="center" wrapText="1"/>
    </xf>
    <xf numFmtId="0" fontId="19" fillId="0" borderId="0" xfId="4" applyFont="1"/>
    <xf numFmtId="0" fontId="29" fillId="4" borderId="2" xfId="4" applyFont="1" applyFill="1" applyBorder="1" applyAlignment="1">
      <alignment horizontal="right" vertical="center" wrapText="1"/>
    </xf>
    <xf numFmtId="0" fontId="15" fillId="0" borderId="0" xfId="4" applyFont="1" applyAlignment="1">
      <alignment horizontal="left" indent="2"/>
    </xf>
    <xf numFmtId="187" fontId="15" fillId="0" borderId="0" xfId="1" applyNumberFormat="1" applyFont="1" applyFill="1" applyAlignment="1">
      <alignment horizontal="right"/>
    </xf>
    <xf numFmtId="187" fontId="15" fillId="0" borderId="2" xfId="1" applyNumberFormat="1" applyFont="1" applyBorder="1" applyAlignment="1">
      <alignment horizontal="right"/>
    </xf>
    <xf numFmtId="187" fontId="0" fillId="0" borderId="0" xfId="0" applyNumberFormat="1"/>
    <xf numFmtId="188" fontId="16" fillId="0" borderId="0" xfId="0" applyNumberFormat="1" applyFont="1"/>
    <xf numFmtId="9" fontId="15" fillId="0" borderId="0" xfId="2" applyFont="1" applyFill="1" applyBorder="1"/>
    <xf numFmtId="9" fontId="16" fillId="0" borderId="0" xfId="0" applyNumberFormat="1" applyFont="1"/>
    <xf numFmtId="187" fontId="10" fillId="0" borderId="0" xfId="1" applyNumberFormat="1" applyFont="1" applyFill="1" applyBorder="1" applyAlignment="1">
      <alignment horizontal="right"/>
    </xf>
    <xf numFmtId="187" fontId="10" fillId="0" borderId="2" xfId="1" applyNumberFormat="1" applyFont="1" applyBorder="1" applyAlignment="1">
      <alignment horizontal="right"/>
    </xf>
    <xf numFmtId="0" fontId="15" fillId="0" borderId="0" xfId="4" applyFont="1" applyAlignment="1">
      <alignment horizontal="left" indent="1"/>
    </xf>
    <xf numFmtId="3" fontId="10" fillId="0" borderId="0" xfId="4" applyNumberFormat="1" applyFont="1" applyAlignment="1">
      <alignment horizontal="right"/>
    </xf>
    <xf numFmtId="187" fontId="10" fillId="0" borderId="11" xfId="1" applyNumberFormat="1" applyFont="1" applyFill="1" applyBorder="1" applyAlignment="1">
      <alignment horizontal="right"/>
    </xf>
    <xf numFmtId="187" fontId="10" fillId="0" borderId="4" xfId="1" applyNumberFormat="1" applyFont="1" applyFill="1" applyBorder="1" applyAlignment="1">
      <alignment horizontal="right"/>
    </xf>
    <xf numFmtId="187" fontId="10" fillId="0" borderId="8" xfId="1" applyNumberFormat="1" applyFont="1" applyFill="1" applyBorder="1" applyAlignment="1">
      <alignment horizontal="right"/>
    </xf>
    <xf numFmtId="187" fontId="10" fillId="0" borderId="8" xfId="1" applyNumberFormat="1" applyFont="1" applyBorder="1" applyAlignment="1">
      <alignment horizontal="right"/>
    </xf>
    <xf numFmtId="187" fontId="10" fillId="0" borderId="0" xfId="1" applyNumberFormat="1" applyFont="1" applyAlignment="1">
      <alignment horizontal="right"/>
    </xf>
    <xf numFmtId="3" fontId="31" fillId="0" borderId="2" xfId="4" applyNumberFormat="1" applyFont="1" applyBorder="1" applyAlignment="1">
      <alignment horizontal="right"/>
    </xf>
    <xf numFmtId="0" fontId="21" fillId="0" borderId="0" xfId="4" applyFont="1"/>
    <xf numFmtId="187" fontId="15" fillId="0" borderId="0" xfId="9" applyNumberFormat="1" applyFont="1" applyFill="1" applyBorder="1" applyAlignment="1">
      <alignment horizontal="right"/>
    </xf>
    <xf numFmtId="187" fontId="15" fillId="0" borderId="2" xfId="9" applyNumberFormat="1" applyFont="1" applyFill="1" applyBorder="1" applyAlignment="1">
      <alignment horizontal="right"/>
    </xf>
    <xf numFmtId="187" fontId="16" fillId="0" borderId="0" xfId="0" applyNumberFormat="1" applyFont="1"/>
    <xf numFmtId="187" fontId="15" fillId="0" borderId="2" xfId="9" applyNumberFormat="1" applyFont="1" applyBorder="1" applyAlignment="1">
      <alignment horizontal="right"/>
    </xf>
    <xf numFmtId="187" fontId="15" fillId="0" borderId="0" xfId="9" applyNumberFormat="1" applyFont="1" applyAlignment="1">
      <alignment horizontal="right"/>
    </xf>
    <xf numFmtId="187" fontId="15" fillId="0" borderId="4" xfId="9" applyNumberFormat="1" applyFont="1" applyFill="1" applyBorder="1" applyAlignment="1">
      <alignment horizontal="right"/>
    </xf>
    <xf numFmtId="187" fontId="15" fillId="0" borderId="4" xfId="9" applyNumberFormat="1" applyFont="1" applyBorder="1" applyAlignment="1">
      <alignment horizontal="right"/>
    </xf>
    <xf numFmtId="187" fontId="10" fillId="0" borderId="0" xfId="1" applyNumberFormat="1" applyFont="1" applyBorder="1" applyAlignment="1">
      <alignment horizontal="right"/>
    </xf>
    <xf numFmtId="187" fontId="10" fillId="0" borderId="3" xfId="1" applyNumberFormat="1" applyFont="1" applyFill="1" applyBorder="1" applyAlignment="1">
      <alignment horizontal="right"/>
    </xf>
    <xf numFmtId="187" fontId="15" fillId="0" borderId="3" xfId="9" applyNumberFormat="1" applyFont="1" applyFill="1" applyBorder="1" applyAlignment="1">
      <alignment horizontal="right"/>
    </xf>
    <xf numFmtId="187" fontId="15" fillId="0" borderId="0" xfId="1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17" fontId="34" fillId="0" borderId="0" xfId="8" applyNumberFormat="1" applyFont="1" applyFill="1" applyBorder="1" applyAlignment="1" applyProtection="1"/>
    <xf numFmtId="0" fontId="10" fillId="2" borderId="0" xfId="4" applyFont="1" applyFill="1"/>
    <xf numFmtId="187" fontId="16" fillId="0" borderId="0" xfId="0" applyNumberFormat="1" applyFont="1" applyAlignment="1">
      <alignment horizontal="right"/>
    </xf>
    <xf numFmtId="0" fontId="35" fillId="0" borderId="0" xfId="0" applyFont="1"/>
    <xf numFmtId="0" fontId="11" fillId="0" borderId="6" xfId="0" applyFont="1" applyBorder="1"/>
    <xf numFmtId="0" fontId="36" fillId="0" borderId="2" xfId="4" applyFont="1" applyBorder="1"/>
    <xf numFmtId="0" fontId="12" fillId="2" borderId="0" xfId="5" applyFont="1" applyFill="1" applyBorder="1" applyAlignment="1">
      <alignment horizontal="center"/>
    </xf>
    <xf numFmtId="0" fontId="12" fillId="2" borderId="2" xfId="5" applyFont="1" applyFill="1" applyBorder="1" applyAlignment="1">
      <alignment horizontal="center"/>
    </xf>
    <xf numFmtId="3" fontId="31" fillId="0" borderId="6" xfId="4" applyNumberFormat="1" applyFont="1" applyBorder="1" applyAlignment="1">
      <alignment horizontal="right"/>
    </xf>
    <xf numFmtId="3" fontId="31" fillId="0" borderId="5" xfId="4" applyNumberFormat="1" applyFont="1" applyBorder="1" applyAlignment="1">
      <alignment horizontal="right"/>
    </xf>
    <xf numFmtId="187" fontId="31" fillId="0" borderId="5" xfId="1" applyNumberFormat="1" applyFont="1" applyFill="1" applyBorder="1" applyAlignment="1">
      <alignment horizontal="right"/>
    </xf>
    <xf numFmtId="187" fontId="31" fillId="0" borderId="6" xfId="1" applyNumberFormat="1" applyFont="1" applyFill="1" applyBorder="1" applyAlignment="1">
      <alignment horizontal="right"/>
    </xf>
    <xf numFmtId="187" fontId="31" fillId="0" borderId="4" xfId="1" applyNumberFormat="1" applyFont="1" applyFill="1" applyBorder="1" applyAlignment="1">
      <alignment horizontal="right"/>
    </xf>
    <xf numFmtId="188" fontId="21" fillId="0" borderId="6" xfId="2" applyNumberFormat="1" applyFont="1" applyFill="1" applyBorder="1"/>
    <xf numFmtId="9" fontId="21" fillId="0" borderId="6" xfId="2" applyFont="1" applyFill="1" applyBorder="1"/>
    <xf numFmtId="187" fontId="31" fillId="0" borderId="5" xfId="1" applyNumberFormat="1" applyFont="1" applyBorder="1" applyAlignment="1">
      <alignment horizontal="right"/>
    </xf>
    <xf numFmtId="187" fontId="31" fillId="0" borderId="6" xfId="1" applyNumberFormat="1" applyFont="1" applyBorder="1" applyAlignment="1">
      <alignment horizontal="right"/>
    </xf>
    <xf numFmtId="187" fontId="37" fillId="0" borderId="0" xfId="0" applyNumberFormat="1" applyFont="1"/>
    <xf numFmtId="188" fontId="21" fillId="0" borderId="0" xfId="2" applyNumberFormat="1" applyFont="1" applyFill="1" applyBorder="1"/>
    <xf numFmtId="3" fontId="21" fillId="0" borderId="6" xfId="4" applyNumberFormat="1" applyFont="1" applyBorder="1" applyAlignment="1">
      <alignment horizontal="right"/>
    </xf>
    <xf numFmtId="3" fontId="21" fillId="0" borderId="5" xfId="4" applyNumberFormat="1" applyFont="1" applyBorder="1" applyAlignment="1">
      <alignment horizontal="right"/>
    </xf>
    <xf numFmtId="187" fontId="21" fillId="0" borderId="5" xfId="1" applyNumberFormat="1" applyFont="1" applyFill="1" applyBorder="1" applyAlignment="1">
      <alignment horizontal="right"/>
    </xf>
    <xf numFmtId="187" fontId="21" fillId="0" borderId="6" xfId="1" applyNumberFormat="1" applyFont="1" applyFill="1" applyBorder="1" applyAlignment="1">
      <alignment horizontal="right"/>
    </xf>
    <xf numFmtId="187" fontId="21" fillId="0" borderId="4" xfId="1" applyNumberFormat="1" applyFont="1" applyFill="1" applyBorder="1" applyAlignment="1">
      <alignment horizontal="right"/>
    </xf>
    <xf numFmtId="3" fontId="31" fillId="0" borderId="12" xfId="4" applyNumberFormat="1" applyFont="1" applyBorder="1" applyAlignment="1">
      <alignment horizontal="right"/>
    </xf>
    <xf numFmtId="3" fontId="31" fillId="0" borderId="13" xfId="4" applyNumberFormat="1" applyFont="1" applyBorder="1" applyAlignment="1">
      <alignment horizontal="right"/>
    </xf>
    <xf numFmtId="187" fontId="31" fillId="0" borderId="13" xfId="1" applyNumberFormat="1" applyFont="1" applyFill="1" applyBorder="1" applyAlignment="1">
      <alignment horizontal="right"/>
    </xf>
    <xf numFmtId="187" fontId="31" fillId="0" borderId="12" xfId="1" applyNumberFormat="1" applyFont="1" applyFill="1" applyBorder="1" applyAlignment="1">
      <alignment horizontal="right"/>
    </xf>
    <xf numFmtId="187" fontId="31" fillId="0" borderId="14" xfId="1" applyNumberFormat="1" applyFont="1" applyFill="1" applyBorder="1" applyAlignment="1">
      <alignment horizontal="right"/>
    </xf>
    <xf numFmtId="187" fontId="21" fillId="0" borderId="0" xfId="4" applyNumberFormat="1" applyFont="1"/>
    <xf numFmtId="187" fontId="31" fillId="0" borderId="13" xfId="1" applyNumberFormat="1" applyFont="1" applyBorder="1" applyAlignment="1">
      <alignment horizontal="right"/>
    </xf>
    <xf numFmtId="187" fontId="31" fillId="0" borderId="12" xfId="1" applyNumberFormat="1" applyFont="1" applyBorder="1" applyAlignment="1">
      <alignment horizontal="right"/>
    </xf>
    <xf numFmtId="187" fontId="31" fillId="0" borderId="0" xfId="1" applyNumberFormat="1" applyFont="1" applyBorder="1" applyAlignment="1">
      <alignment horizontal="right"/>
    </xf>
    <xf numFmtId="9" fontId="21" fillId="0" borderId="0" xfId="2" applyFont="1" applyFill="1" applyBorder="1"/>
    <xf numFmtId="187" fontId="31" fillId="0" borderId="2" xfId="1" applyNumberFormat="1" applyFont="1" applyFill="1" applyBorder="1" applyAlignment="1">
      <alignment horizontal="right"/>
    </xf>
    <xf numFmtId="187" fontId="31" fillId="0" borderId="0" xfId="1" applyNumberFormat="1" applyFont="1" applyFill="1" applyBorder="1" applyAlignment="1">
      <alignment horizontal="right"/>
    </xf>
    <xf numFmtId="188" fontId="21" fillId="0" borderId="12" xfId="2" applyNumberFormat="1" applyFont="1" applyFill="1" applyBorder="1"/>
    <xf numFmtId="187" fontId="31" fillId="0" borderId="2" xfId="1" applyNumberFormat="1" applyFont="1" applyBorder="1" applyAlignment="1">
      <alignment horizontal="right"/>
    </xf>
    <xf numFmtId="0" fontId="21" fillId="0" borderId="6" xfId="4" applyFont="1" applyBorder="1"/>
    <xf numFmtId="0" fontId="21" fillId="0" borderId="12" xfId="4" applyFont="1" applyBorder="1"/>
    <xf numFmtId="187" fontId="37" fillId="0" borderId="12" xfId="0" applyNumberFormat="1" applyFont="1" applyBorder="1"/>
    <xf numFmtId="3" fontId="31" fillId="0" borderId="0" xfId="4" applyNumberFormat="1" applyFont="1" applyAlignment="1">
      <alignment horizontal="right"/>
    </xf>
    <xf numFmtId="0" fontId="37" fillId="0" borderId="0" xfId="0" applyFont="1"/>
    <xf numFmtId="0" fontId="11" fillId="3" borderId="6" xfId="0" applyFont="1" applyFill="1" applyBorder="1" applyAlignment="1">
      <alignment horizontal="right"/>
    </xf>
    <xf numFmtId="0" fontId="11" fillId="3" borderId="6" xfId="0" applyFont="1" applyFill="1" applyBorder="1"/>
    <xf numFmtId="187" fontId="11" fillId="0" borderId="6" xfId="1" applyNumberFormat="1" applyFont="1" applyFill="1" applyBorder="1"/>
    <xf numFmtId="187" fontId="11" fillId="0" borderId="6" xfId="1" applyNumberFormat="1" applyFont="1" applyBorder="1"/>
    <xf numFmtId="0" fontId="12" fillId="2" borderId="3" xfId="5" applyFont="1" applyFill="1" applyBorder="1" applyAlignment="1">
      <alignment horizontal="right"/>
    </xf>
    <xf numFmtId="0" fontId="12" fillId="2" borderId="0" xfId="5" applyFont="1" applyFill="1" applyAlignment="1">
      <alignment horizontal="right"/>
    </xf>
    <xf numFmtId="0" fontId="12" fillId="2" borderId="2" xfId="5" applyFont="1" applyFill="1" applyBorder="1" applyAlignment="1">
      <alignment horizontal="left"/>
    </xf>
    <xf numFmtId="0" fontId="30" fillId="2" borderId="0" xfId="5" applyFont="1" applyFill="1" applyBorder="1" applyAlignment="1">
      <alignment horizontal="left"/>
    </xf>
    <xf numFmtId="0" fontId="19" fillId="2" borderId="0" xfId="4" applyFont="1" applyFill="1"/>
    <xf numFmtId="0" fontId="19" fillId="2" borderId="2" xfId="4" applyFont="1" applyFill="1" applyBorder="1"/>
    <xf numFmtId="0" fontId="29" fillId="2" borderId="0" xfId="4" applyFont="1" applyFill="1" applyAlignment="1">
      <alignment horizontal="center" vertical="center" wrapText="1"/>
    </xf>
    <xf numFmtId="0" fontId="29" fillId="2" borderId="2" xfId="4" applyFont="1" applyFill="1" applyBorder="1" applyAlignment="1">
      <alignment horizontal="center" vertical="center" wrapText="1"/>
    </xf>
    <xf numFmtId="0" fontId="29" fillId="2" borderId="0" xfId="4" applyFont="1" applyFill="1" applyAlignment="1">
      <alignment vertical="center" wrapText="1"/>
    </xf>
    <xf numFmtId="0" fontId="29" fillId="2" borderId="0" xfId="0" applyFont="1" applyFill="1" applyAlignment="1">
      <alignment horizontal="center" vertical="center" wrapText="1"/>
    </xf>
    <xf numFmtId="4" fontId="30" fillId="2" borderId="0" xfId="5" applyNumberFormat="1" applyFont="1" applyFill="1" applyBorder="1" applyAlignment="1">
      <alignment horizontal="left"/>
    </xf>
    <xf numFmtId="4" fontId="29" fillId="2" borderId="0" xfId="10" quotePrefix="1" applyNumberFormat="1" applyFont="1" applyFill="1" applyAlignment="1">
      <alignment horizontal="center"/>
    </xf>
    <xf numFmtId="4" fontId="16" fillId="0" borderId="0" xfId="0" applyNumberFormat="1" applyFont="1"/>
    <xf numFmtId="4" fontId="16" fillId="0" borderId="4" xfId="0" applyNumberFormat="1" applyFont="1" applyBorder="1"/>
    <xf numFmtId="4" fontId="11" fillId="0" borderId="6" xfId="0" applyNumberFormat="1" applyFont="1" applyBorder="1"/>
    <xf numFmtId="3" fontId="16" fillId="0" borderId="0" xfId="1" applyNumberFormat="1" applyFont="1"/>
    <xf numFmtId="3" fontId="16" fillId="0" borderId="4" xfId="1" applyNumberFormat="1" applyFont="1" applyBorder="1"/>
    <xf numFmtId="3" fontId="11" fillId="0" borderId="6" xfId="1" applyNumberFormat="1" applyFont="1" applyBorder="1"/>
    <xf numFmtId="0" fontId="38" fillId="0" borderId="0" xfId="0" applyFont="1"/>
    <xf numFmtId="0" fontId="11" fillId="0" borderId="6" xfId="0" applyFont="1" applyBorder="1" applyAlignment="1">
      <alignment wrapText="1"/>
    </xf>
    <xf numFmtId="0" fontId="29" fillId="2" borderId="0" xfId="0" applyFont="1" applyFill="1" applyAlignment="1">
      <alignment horizontal="center"/>
    </xf>
    <xf numFmtId="0" fontId="39" fillId="0" borderId="6" xfId="4" applyFont="1" applyBorder="1" applyAlignment="1">
      <alignment horizontal="left" indent="1"/>
    </xf>
    <xf numFmtId="187" fontId="39" fillId="0" borderId="6" xfId="1" applyNumberFormat="1" applyFont="1" applyFill="1" applyBorder="1" applyAlignment="1">
      <alignment horizontal="right"/>
    </xf>
    <xf numFmtId="0" fontId="11" fillId="0" borderId="4" xfId="0" applyFont="1" applyBorder="1"/>
    <xf numFmtId="0" fontId="11" fillId="3" borderId="4" xfId="0" applyFont="1" applyFill="1" applyBorder="1" applyAlignment="1">
      <alignment horizontal="right"/>
    </xf>
    <xf numFmtId="0" fontId="11" fillId="3" borderId="4" xfId="0" applyFont="1" applyFill="1" applyBorder="1"/>
    <xf numFmtId="187" fontId="11" fillId="0" borderId="4" xfId="1" applyNumberFormat="1" applyFont="1" applyFill="1" applyBorder="1"/>
    <xf numFmtId="187" fontId="11" fillId="0" borderId="4" xfId="1" applyNumberFormat="1" applyFont="1" applyBorder="1"/>
    <xf numFmtId="0" fontId="40" fillId="0" borderId="0" xfId="4" applyFont="1"/>
    <xf numFmtId="0" fontId="41" fillId="0" borderId="0" xfId="0" applyFont="1"/>
    <xf numFmtId="0" fontId="42" fillId="0" borderId="15" xfId="0" applyFont="1" applyBorder="1"/>
    <xf numFmtId="0" fontId="42" fillId="0" borderId="16" xfId="0" applyFont="1" applyBorder="1"/>
    <xf numFmtId="0" fontId="42" fillId="0" borderId="17" xfId="0" applyFont="1" applyBorder="1"/>
    <xf numFmtId="0" fontId="41" fillId="0" borderId="18" xfId="0" applyFont="1" applyBorder="1"/>
    <xf numFmtId="0" fontId="38" fillId="0" borderId="17" xfId="0" applyFont="1" applyBorder="1" applyAlignment="1">
      <alignment horizontal="left" indent="1"/>
    </xf>
    <xf numFmtId="0" fontId="38" fillId="0" borderId="18" xfId="0" applyFont="1" applyBorder="1"/>
    <xf numFmtId="0" fontId="38" fillId="0" borderId="19" xfId="0" applyFont="1" applyBorder="1"/>
    <xf numFmtId="0" fontId="28" fillId="2" borderId="0" xfId="5" applyFont="1" applyFill="1" applyBorder="1" applyAlignment="1">
      <alignment horizontal="left"/>
    </xf>
    <xf numFmtId="187" fontId="31" fillId="5" borderId="6" xfId="1" applyNumberFormat="1" applyFont="1" applyFill="1" applyBorder="1" applyAlignment="1">
      <alignment horizontal="right"/>
    </xf>
    <xf numFmtId="9" fontId="21" fillId="5" borderId="6" xfId="2" applyFont="1" applyFill="1" applyBorder="1"/>
    <xf numFmtId="188" fontId="21" fillId="5" borderId="6" xfId="2" applyNumberFormat="1" applyFont="1" applyFill="1" applyBorder="1"/>
    <xf numFmtId="9" fontId="21" fillId="2" borderId="0" xfId="2" applyFont="1" applyFill="1" applyBorder="1"/>
    <xf numFmtId="0" fontId="43" fillId="0" borderId="0" xfId="4" applyFont="1" applyAlignment="1">
      <alignment horizontal="left" indent="1"/>
    </xf>
    <xf numFmtId="187" fontId="44" fillId="5" borderId="0" xfId="1" applyNumberFormat="1" applyFont="1" applyFill="1" applyBorder="1" applyAlignment="1">
      <alignment horizontal="right"/>
    </xf>
    <xf numFmtId="187" fontId="44" fillId="0" borderId="0" xfId="1" applyNumberFormat="1" applyFont="1" applyBorder="1" applyAlignment="1">
      <alignment horizontal="right"/>
    </xf>
    <xf numFmtId="9" fontId="43" fillId="5" borderId="0" xfId="2" applyFont="1" applyFill="1" applyBorder="1"/>
    <xf numFmtId="188" fontId="43" fillId="5" borderId="0" xfId="2" applyNumberFormat="1" applyFont="1" applyFill="1" applyBorder="1"/>
    <xf numFmtId="0" fontId="43" fillId="0" borderId="0" xfId="4" applyFont="1"/>
    <xf numFmtId="187" fontId="43" fillId="0" borderId="0" xfId="1" applyNumberFormat="1" applyFont="1" applyFill="1" applyBorder="1" applyAlignment="1">
      <alignment horizontal="right"/>
    </xf>
    <xf numFmtId="0" fontId="43" fillId="0" borderId="4" xfId="4" applyFont="1" applyBorder="1" applyAlignment="1">
      <alignment horizontal="left" indent="1"/>
    </xf>
    <xf numFmtId="187" fontId="44" fillId="5" borderId="4" xfId="1" applyNumberFormat="1" applyFont="1" applyFill="1" applyBorder="1" applyAlignment="1">
      <alignment horizontal="right"/>
    </xf>
    <xf numFmtId="187" fontId="44" fillId="0" borderId="4" xfId="1" applyNumberFormat="1" applyFont="1" applyBorder="1" applyAlignment="1">
      <alignment horizontal="right"/>
    </xf>
    <xf numFmtId="9" fontId="43" fillId="5" borderId="4" xfId="2" applyFont="1" applyFill="1" applyBorder="1"/>
    <xf numFmtId="188" fontId="43" fillId="5" borderId="4" xfId="2" applyNumberFormat="1" applyFont="1" applyFill="1" applyBorder="1"/>
    <xf numFmtId="0" fontId="43" fillId="0" borderId="4" xfId="4" applyFont="1" applyBorder="1"/>
    <xf numFmtId="189" fontId="43" fillId="0" borderId="4" xfId="1" applyNumberFormat="1" applyFont="1" applyFill="1" applyBorder="1" applyAlignment="1">
      <alignment horizontal="right"/>
    </xf>
    <xf numFmtId="9" fontId="11" fillId="0" borderId="4" xfId="2" applyFont="1" applyBorder="1"/>
    <xf numFmtId="9" fontId="11" fillId="0" borderId="4" xfId="2" applyFont="1" applyFill="1" applyBorder="1"/>
    <xf numFmtId="9" fontId="11" fillId="0" borderId="6" xfId="2" applyFont="1" applyFill="1" applyBorder="1"/>
    <xf numFmtId="9" fontId="11" fillId="0" borderId="6" xfId="2" applyFont="1" applyBorder="1"/>
    <xf numFmtId="191" fontId="16" fillId="0" borderId="0" xfId="0" applyNumberFormat="1" applyFont="1"/>
    <xf numFmtId="0" fontId="33" fillId="2" borderId="0" xfId="4" applyFont="1" applyFill="1" applyAlignment="1">
      <alignment horizontal="center"/>
    </xf>
    <xf numFmtId="17" fontId="25" fillId="0" borderId="0" xfId="3" applyNumberFormat="1" applyFont="1" applyFill="1" applyBorder="1" applyAlignment="1" applyProtection="1"/>
    <xf numFmtId="0" fontId="9" fillId="0" borderId="0" xfId="4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4" applyFont="1" applyAlignment="1">
      <alignment horizontal="center"/>
    </xf>
    <xf numFmtId="17" fontId="25" fillId="0" borderId="0" xfId="3" applyNumberFormat="1" applyFont="1" applyFill="1" applyBorder="1" applyAlignment="1" applyProtection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29" fillId="2" borderId="0" xfId="0" applyFont="1" applyFill="1"/>
    <xf numFmtId="0" fontId="16" fillId="0" borderId="4" xfId="0" applyFont="1" applyBorder="1"/>
    <xf numFmtId="0" fontId="16" fillId="0" borderId="4" xfId="0" applyFont="1" applyBorder="1" applyAlignment="1">
      <alignment horizontal="center"/>
    </xf>
    <xf numFmtId="9" fontId="16" fillId="0" borderId="4" xfId="0" applyNumberFormat="1" applyFont="1" applyBorder="1"/>
    <xf numFmtId="43" fontId="16" fillId="0" borderId="4" xfId="1" applyFont="1" applyBorder="1"/>
    <xf numFmtId="191" fontId="16" fillId="0" borderId="0" xfId="1" applyNumberFormat="1" applyFont="1"/>
    <xf numFmtId="188" fontId="16" fillId="0" borderId="0" xfId="0" applyNumberFormat="1" applyFont="1" applyAlignment="1">
      <alignment horizontal="center"/>
    </xf>
    <xf numFmtId="0" fontId="33" fillId="2" borderId="0" xfId="0" applyFont="1" applyFill="1" applyAlignment="1">
      <alignment horizontal="center"/>
    </xf>
    <xf numFmtId="0" fontId="33" fillId="2" borderId="0" xfId="0" applyFont="1" applyFill="1"/>
    <xf numFmtId="9" fontId="16" fillId="0" borderId="4" xfId="0" applyNumberFormat="1" applyFont="1" applyBorder="1" applyAlignment="1">
      <alignment horizontal="center"/>
    </xf>
    <xf numFmtId="9" fontId="16" fillId="0" borderId="4" xfId="2" applyFont="1" applyBorder="1"/>
    <xf numFmtId="2" fontId="16" fillId="0" borderId="0" xfId="0" applyNumberFormat="1" applyFont="1"/>
    <xf numFmtId="1" fontId="16" fillId="0" borderId="0" xfId="0" applyNumberFormat="1" applyFont="1"/>
    <xf numFmtId="2" fontId="16" fillId="0" borderId="4" xfId="0" applyNumberFormat="1" applyFont="1" applyBorder="1"/>
    <xf numFmtId="1" fontId="16" fillId="0" borderId="4" xfId="0" applyNumberFormat="1" applyFont="1" applyBorder="1"/>
    <xf numFmtId="9" fontId="16" fillId="0" borderId="0" xfId="0" applyNumberFormat="1" applyFont="1" applyAlignment="1">
      <alignment horizontal="center"/>
    </xf>
    <xf numFmtId="0" fontId="38" fillId="0" borderId="18" xfId="0" applyFont="1" applyBorder="1" applyAlignment="1">
      <alignment horizontal="left" indent="1"/>
    </xf>
    <xf numFmtId="0" fontId="38" fillId="0" borderId="18" xfId="0" quotePrefix="1" applyFont="1" applyBorder="1" applyAlignment="1">
      <alignment wrapText="1"/>
    </xf>
    <xf numFmtId="0" fontId="38" fillId="0" borderId="19" xfId="0" applyFont="1" applyBorder="1" applyAlignment="1">
      <alignment horizontal="left" indent="1"/>
    </xf>
    <xf numFmtId="9" fontId="11" fillId="0" borderId="0" xfId="2" applyFont="1" applyFill="1"/>
    <xf numFmtId="9" fontId="43" fillId="0" borderId="0" xfId="2" applyFont="1" applyFill="1" applyBorder="1"/>
    <xf numFmtId="188" fontId="43" fillId="0" borderId="0" xfId="2" applyNumberFormat="1" applyFont="1" applyFill="1" applyBorder="1"/>
    <xf numFmtId="9" fontId="15" fillId="0" borderId="0" xfId="2" applyFont="1" applyFill="1" applyAlignment="1">
      <alignment horizontal="right"/>
    </xf>
    <xf numFmtId="187" fontId="21" fillId="0" borderId="5" xfId="1" applyNumberFormat="1" applyFont="1" applyBorder="1" applyAlignment="1">
      <alignment horizontal="right"/>
    </xf>
    <xf numFmtId="187" fontId="21" fillId="0" borderId="6" xfId="1" applyNumberFormat="1" applyFont="1" applyBorder="1" applyAlignment="1">
      <alignment horizontal="right"/>
    </xf>
    <xf numFmtId="187" fontId="21" fillId="0" borderId="4" xfId="1" applyNumberFormat="1" applyFont="1" applyBorder="1" applyAlignment="1">
      <alignment horizontal="right"/>
    </xf>
    <xf numFmtId="188" fontId="21" fillId="0" borderId="6" xfId="2" applyNumberFormat="1" applyFont="1" applyBorder="1"/>
    <xf numFmtId="9" fontId="21" fillId="0" borderId="6" xfId="2" applyFont="1" applyBorder="1"/>
    <xf numFmtId="3" fontId="21" fillId="0" borderId="0" xfId="4" applyNumberFormat="1" applyFont="1" applyAlignment="1">
      <alignment horizontal="right"/>
    </xf>
    <xf numFmtId="187" fontId="21" fillId="0" borderId="0" xfId="1" applyNumberFormat="1" applyFont="1" applyBorder="1" applyAlignment="1">
      <alignment horizontal="right"/>
    </xf>
    <xf numFmtId="188" fontId="21" fillId="0" borderId="0" xfId="2" applyNumberFormat="1" applyFont="1" applyBorder="1"/>
    <xf numFmtId="9" fontId="21" fillId="0" borderId="0" xfId="2" applyFont="1" applyBorder="1"/>
    <xf numFmtId="187" fontId="31" fillId="0" borderId="0" xfId="1" applyNumberFormat="1" applyFont="1" applyAlignment="1">
      <alignment horizontal="right"/>
    </xf>
    <xf numFmtId="9" fontId="21" fillId="0" borderId="0" xfId="2" applyFont="1" applyFill="1"/>
    <xf numFmtId="188" fontId="31" fillId="0" borderId="0" xfId="2" applyNumberFormat="1" applyFont="1" applyFill="1" applyAlignment="1">
      <alignment horizontal="right"/>
    </xf>
    <xf numFmtId="188" fontId="21" fillId="0" borderId="0" xfId="2" applyNumberFormat="1" applyFont="1" applyFill="1"/>
    <xf numFmtId="187" fontId="31" fillId="0" borderId="4" xfId="1" applyNumberFormat="1" applyFont="1" applyBorder="1" applyAlignment="1">
      <alignment horizontal="right"/>
    </xf>
    <xf numFmtId="188" fontId="21" fillId="0" borderId="4" xfId="2" applyNumberFormat="1" applyFont="1" applyFill="1" applyBorder="1"/>
    <xf numFmtId="0" fontId="21" fillId="0" borderId="4" xfId="4" applyFont="1" applyBorder="1"/>
    <xf numFmtId="0" fontId="16" fillId="3" borderId="0" xfId="0" applyFont="1" applyFill="1" applyAlignment="1">
      <alignment horizontal="right"/>
    </xf>
    <xf numFmtId="0" fontId="16" fillId="3" borderId="0" xfId="0" applyFont="1" applyFill="1"/>
    <xf numFmtId="190" fontId="16" fillId="0" borderId="0" xfId="0" applyNumberFormat="1" applyFont="1"/>
    <xf numFmtId="188" fontId="10" fillId="0" borderId="0" xfId="2" applyNumberFormat="1" applyFont="1"/>
    <xf numFmtId="188" fontId="15" fillId="0" borderId="4" xfId="2" applyNumberFormat="1" applyFont="1" applyFill="1" applyBorder="1" applyAlignment="1">
      <alignment horizontal="right"/>
    </xf>
    <xf numFmtId="188" fontId="15" fillId="0" borderId="6" xfId="2" applyNumberFormat="1" applyFont="1" applyFill="1" applyBorder="1" applyAlignment="1">
      <alignment horizontal="right"/>
    </xf>
    <xf numFmtId="9" fontId="16" fillId="0" borderId="0" xfId="2" applyFont="1" applyFill="1"/>
    <xf numFmtId="188" fontId="16" fillId="0" borderId="0" xfId="2" applyNumberFormat="1" applyFont="1" applyFill="1"/>
    <xf numFmtId="0" fontId="21" fillId="0" borderId="12" xfId="4" applyFont="1" applyBorder="1" applyAlignment="1">
      <alignment horizontal="left" indent="1"/>
    </xf>
    <xf numFmtId="0" fontId="21" fillId="0" borderId="0" xfId="4" applyFont="1" applyAlignment="1">
      <alignment horizontal="left" indent="1"/>
    </xf>
    <xf numFmtId="0" fontId="21" fillId="0" borderId="6" xfId="4" applyFont="1" applyBorder="1" applyAlignment="1">
      <alignment horizontal="left" indent="1"/>
    </xf>
    <xf numFmtId="9" fontId="15" fillId="0" borderId="6" xfId="2" applyFont="1" applyFill="1" applyBorder="1"/>
    <xf numFmtId="3" fontId="16" fillId="0" borderId="0" xfId="1" applyNumberFormat="1" applyFont="1" applyFill="1"/>
    <xf numFmtId="17" fontId="7" fillId="0" borderId="2" xfId="3" applyNumberFormat="1" applyFont="1" applyFill="1" applyBorder="1" applyAlignment="1" applyProtection="1"/>
    <xf numFmtId="187" fontId="16" fillId="0" borderId="0" xfId="1" applyNumberFormat="1" applyFont="1" applyFill="1"/>
    <xf numFmtId="191" fontId="16" fillId="0" borderId="0" xfId="1" applyNumberFormat="1" applyFont="1" applyFill="1"/>
    <xf numFmtId="188" fontId="10" fillId="0" borderId="0" xfId="2" applyNumberFormat="1" applyFont="1" applyFill="1" applyBorder="1"/>
    <xf numFmtId="9" fontId="15" fillId="0" borderId="4" xfId="2" applyFont="1" applyFill="1" applyBorder="1" applyAlignment="1">
      <alignment horizontal="right"/>
    </xf>
    <xf numFmtId="9" fontId="15" fillId="0" borderId="6" xfId="2" applyFont="1" applyFill="1" applyBorder="1" applyAlignment="1">
      <alignment horizontal="right"/>
    </xf>
    <xf numFmtId="9" fontId="10" fillId="0" borderId="0" xfId="2" applyFont="1" applyFill="1" applyBorder="1" applyAlignment="1">
      <alignment horizontal="right"/>
    </xf>
    <xf numFmtId="3" fontId="10" fillId="0" borderId="4" xfId="1" applyNumberFormat="1" applyFont="1" applyBorder="1"/>
    <xf numFmtId="9" fontId="21" fillId="0" borderId="12" xfId="2" applyFont="1" applyFill="1" applyBorder="1"/>
    <xf numFmtId="9" fontId="10" fillId="0" borderId="0" xfId="0" applyNumberFormat="1" applyFont="1"/>
    <xf numFmtId="9" fontId="10" fillId="0" borderId="0" xfId="0" applyNumberFormat="1" applyFont="1" applyAlignment="1">
      <alignment horizontal="right"/>
    </xf>
    <xf numFmtId="0" fontId="38" fillId="37" borderId="17" xfId="0" applyFont="1" applyFill="1" applyBorder="1" applyAlignment="1">
      <alignment horizontal="left" indent="1"/>
    </xf>
    <xf numFmtId="0" fontId="38" fillId="37" borderId="17" xfId="0" applyFont="1" applyFill="1" applyBorder="1"/>
    <xf numFmtId="0" fontId="63" fillId="0" borderId="0" xfId="0" applyFont="1" applyAlignment="1">
      <alignment horizontal="center" vertical="center"/>
    </xf>
    <xf numFmtId="3" fontId="47" fillId="0" borderId="0" xfId="0" applyNumberFormat="1" applyFont="1" applyAlignment="1">
      <alignment vertical="center"/>
    </xf>
    <xf numFmtId="0" fontId="31" fillId="0" borderId="0" xfId="0" applyFont="1" applyAlignment="1">
      <alignment wrapText="1"/>
    </xf>
    <xf numFmtId="191" fontId="16" fillId="38" borderId="0" xfId="0" applyNumberFormat="1" applyFont="1" applyFill="1"/>
    <xf numFmtId="187" fontId="16" fillId="0" borderId="0" xfId="1" applyNumberFormat="1" applyFont="1" applyFill="1" applyBorder="1" applyAlignment="1">
      <alignment horizontal="right"/>
    </xf>
    <xf numFmtId="1" fontId="16" fillId="0" borderId="0" xfId="1506" applyNumberFormat="1" applyFont="1" applyBorder="1" applyAlignment="1">
      <alignment horizontal="right"/>
    </xf>
    <xf numFmtId="192" fontId="11" fillId="0" borderId="0" xfId="4" applyNumberFormat="1" applyFont="1" applyAlignment="1">
      <alignment vertical="center" wrapText="1"/>
    </xf>
    <xf numFmtId="0" fontId="62" fillId="0" borderId="0" xfId="0" applyFont="1" applyAlignment="1">
      <alignment horizontal="left" vertical="center" readingOrder="1"/>
    </xf>
    <xf numFmtId="192" fontId="10" fillId="0" borderId="0" xfId="1517" applyNumberFormat="1" applyFont="1" applyFill="1"/>
    <xf numFmtId="192" fontId="16" fillId="0" borderId="0" xfId="59" applyNumberFormat="1" applyFont="1"/>
    <xf numFmtId="192" fontId="16" fillId="0" borderId="0" xfId="45" applyNumberFormat="1" applyFont="1"/>
    <xf numFmtId="1" fontId="16" fillId="0" borderId="0" xfId="1807" applyNumberFormat="1" applyFont="1" applyBorder="1" applyAlignment="1">
      <alignment horizontal="right"/>
    </xf>
    <xf numFmtId="1" fontId="16" fillId="0" borderId="0" xfId="45" applyNumberFormat="1" applyFont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2" fillId="2" borderId="0" xfId="5" applyFont="1" applyFill="1" applyBorder="1" applyAlignment="1">
      <alignment horizontal="center"/>
    </xf>
    <xf numFmtId="0" fontId="12" fillId="2" borderId="3" xfId="5" applyFont="1" applyFill="1" applyBorder="1" applyAlignment="1">
      <alignment horizontal="center"/>
    </xf>
    <xf numFmtId="0" fontId="12" fillId="2" borderId="2" xfId="5" applyFont="1" applyFill="1" applyBorder="1" applyAlignment="1">
      <alignment horizontal="center"/>
    </xf>
    <xf numFmtId="0" fontId="29" fillId="2" borderId="0" xfId="4" applyFont="1" applyFill="1" applyAlignment="1">
      <alignment horizontal="center" vertical="center" wrapText="1"/>
    </xf>
    <xf numFmtId="0" fontId="29" fillId="2" borderId="9" xfId="4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0" xfId="4" applyFont="1" applyAlignment="1">
      <alignment horizontal="center" vertical="center" wrapText="1"/>
    </xf>
    <xf numFmtId="0" fontId="29" fillId="4" borderId="0" xfId="4" applyFont="1" applyFill="1" applyAlignment="1">
      <alignment horizontal="center" vertical="center" wrapText="1"/>
    </xf>
    <xf numFmtId="0" fontId="29" fillId="4" borderId="2" xfId="4" applyFont="1" applyFill="1" applyBorder="1" applyAlignment="1">
      <alignment horizontal="center" vertical="center" wrapText="1"/>
    </xf>
    <xf numFmtId="0" fontId="29" fillId="4" borderId="3" xfId="4" applyFont="1" applyFill="1" applyBorder="1" applyAlignment="1">
      <alignment horizontal="center" vertical="center" wrapText="1"/>
    </xf>
    <xf numFmtId="0" fontId="29" fillId="2" borderId="10" xfId="4" applyFont="1" applyFill="1" applyBorder="1" applyAlignment="1">
      <alignment horizontal="center" vertical="center" wrapText="1"/>
    </xf>
    <xf numFmtId="0" fontId="33" fillId="2" borderId="3" xfId="4" applyFont="1" applyFill="1" applyBorder="1" applyAlignment="1">
      <alignment horizontal="center"/>
    </xf>
    <xf numFmtId="0" fontId="33" fillId="2" borderId="0" xfId="4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4" xfId="0" applyFont="1" applyFill="1" applyBorder="1" applyAlignment="1">
      <alignment horizontal="center"/>
    </xf>
    <xf numFmtId="192" fontId="0" fillId="0" borderId="0" xfId="0" applyNumberFormat="1"/>
    <xf numFmtId="43" fontId="15" fillId="0" borderId="0" xfId="1" applyFont="1" applyFill="1" applyBorder="1" applyAlignment="1">
      <alignment horizontal="right"/>
    </xf>
    <xf numFmtId="0" fontId="143" fillId="0" borderId="0" xfId="0" applyFont="1" applyFill="1" applyAlignment="1">
      <alignment horizontal="left" vertical="center" wrapText="1" readingOrder="1"/>
    </xf>
    <xf numFmtId="0" fontId="61" fillId="0" borderId="2" xfId="5" applyFont="1" applyFill="1" applyBorder="1" applyAlignment="1">
      <alignment horizontal="left" wrapText="1"/>
    </xf>
    <xf numFmtId="1" fontId="10" fillId="0" borderId="0" xfId="4" applyNumberFormat="1" applyFont="1" applyFill="1" applyAlignment="1">
      <alignment horizontal="right"/>
    </xf>
    <xf numFmtId="1" fontId="10" fillId="0" borderId="0" xfId="4" applyNumberFormat="1" applyFont="1" applyFill="1"/>
    <xf numFmtId="1" fontId="10" fillId="0" borderId="6" xfId="4" applyNumberFormat="1" applyFont="1" applyFill="1" applyBorder="1" applyAlignment="1">
      <alignment horizontal="right"/>
    </xf>
  </cellXfs>
  <cellStyles count="1839">
    <cellStyle name="_x000a_386grabber=M" xfId="11" xr:uid="{37F889FF-8AC0-4D79-B31E-51CC3A343177}"/>
    <cellStyle name="_x000a_386grabber=M 2" xfId="62" xr:uid="{51C5D8F4-E926-4375-8DB1-D3FDBC67C684}"/>
    <cellStyle name="_x000a_386grabber=M 2 2" xfId="57" xr:uid="{6C0FE3E7-0648-4655-B766-D24E9149FA6D}"/>
    <cellStyle name="_x000a_386grabber=M 2 2 2" xfId="63" xr:uid="{05D088DC-F0CD-49B7-AFB7-6C262AE620E3}"/>
    <cellStyle name="_x000a_386grabber=M 3" xfId="5" xr:uid="{70C0029E-7AC4-4A12-B135-3DF59CAD80C9}"/>
    <cellStyle name="_x000a_386grabber=M 3 2" xfId="65" xr:uid="{502A9356-136E-49A9-A727-9790FC4A7504}"/>
    <cellStyle name="_x000a_386grabber=M 3 3" xfId="66" xr:uid="{97618ECB-9EF3-4CBF-BBEF-598DF837FDE2}"/>
    <cellStyle name="_x000a_386grabber=M 3 4" xfId="64" xr:uid="{73BEFBA8-30DD-4413-81B6-CBE78B5ED2AF}"/>
    <cellStyle name="_x000a_386grabber=M 4" xfId="67" xr:uid="{38AB63F9-1C78-47AF-9CA9-1C5B11423C31}"/>
    <cellStyle name="_x000a_386grabber=M 4 2" xfId="68" xr:uid="{29558CFC-C967-4637-8435-BFEF5023B7A7}"/>
    <cellStyle name="_x000a_386grabber=M 5" xfId="56" xr:uid="{2096983D-9A11-4D38-8864-23107626DC7E}"/>
    <cellStyle name="_x000a_386grabber=M 8" xfId="69" xr:uid="{A713FD8C-D505-4A7C-BF2A-4243EB85CEEA}"/>
    <cellStyle name="_x000a_386grabber=M_Eim_Test_SBN Financial Model_2010 Revise Revenue 2(16-10-09)" xfId="70" xr:uid="{522C8B82-9214-4C9B-B671-14A2E07ACE6E}"/>
    <cellStyle name="_x000d_386grabber=M" xfId="71" xr:uid="{C1D3F6F1-0D52-458B-A3D8-8339846870EB}"/>
    <cellStyle name="_x000d_386grabber=M 2" xfId="72" xr:uid="{9B2B9D78-D463-497D-B940-C00879145201}"/>
    <cellStyle name="_x000d_386grabber=M_Eim_Test_SBN Financial Model_2010 Revise Revenue 2(16-10-09)" xfId="73" xr:uid="{AF3F1B57-8DD8-4A6B-8419-A53590DAA374}"/>
    <cellStyle name="%" xfId="74" xr:uid="{BB5849BB-AD24-427E-9D7E-5505D3FDA2E6}"/>
    <cellStyle name="% 2" xfId="75" xr:uid="{25233995-F965-4DCA-8017-F078406582F2}"/>
    <cellStyle name="% 2 2" xfId="76" xr:uid="{04F82780-9DE9-42E4-878A-30908ABE278C}"/>
    <cellStyle name="% 2 3" xfId="77" xr:uid="{CF7533B5-BC1C-4E42-B917-F19C2C105BE4}"/>
    <cellStyle name="% 3" xfId="78" xr:uid="{149B530E-3FF8-4A2B-A627-543AF988F369}"/>
    <cellStyle name="%_EDS Revenue Report (2011-05)" xfId="79" xr:uid="{23AEAD1B-E8D8-4CEC-AD93-77F7EB4B1A1F}"/>
    <cellStyle name="%_Excom_AIS_08_2009 format" xfId="80" xr:uid="{A97C7D1D-BE04-40E7-98D7-EF0E56AA9946}"/>
    <cellStyle name="_AIN report_2008" xfId="81" xr:uid="{2D7B205E-677A-4331-86F8-591B19111BF9}"/>
    <cellStyle name="_Compare CSLoxinfo  Cost Price 13072007 Final" xfId="82" xr:uid="{20141FCA-CF6C-46AB-A0E8-1725C00A7B23}"/>
    <cellStyle name="_Compare CSLoxinfo  Cost Price 13072007 Final 2" xfId="83" xr:uid="{9C2390B8-A463-4C56-847D-EBED1C492C58}"/>
    <cellStyle name="_Compare CSLoxinfo Cost Price.Master.20070723" xfId="84" xr:uid="{108E3190-8147-48A9-A4A9-1F04CAEEB8C0}"/>
    <cellStyle name="_Compare CSLoxinfo Cost Price.Master.20070723 2" xfId="85" xr:uid="{5DF31FC4-8448-4973-B913-5B191311CCEE}"/>
    <cellStyle name="_Revenue by Region ย่อย (Jan-Mar10)++" xfId="86" xr:uid="{02883046-99AD-4181-8ED3-E163CC2F34F1}"/>
    <cellStyle name="_ข้อมูล V look up ทำ File" xfId="87" xr:uid="{34E5B165-4FAB-4310-8C04-F59E8940B91D}"/>
    <cellStyle name="0,0_x000d__x000a_NA_x000d__x000a_" xfId="88" xr:uid="{6851FBBB-D8A2-41EF-970A-735C818D4266}"/>
    <cellStyle name="20% - Accent1" xfId="27" builtinId="30" customBuiltin="1"/>
    <cellStyle name="20% - Accent1 2" xfId="89" xr:uid="{90AAE53F-F175-4805-87F0-24E0750F917A}"/>
    <cellStyle name="20% - Accent1 2 2" xfId="90" xr:uid="{04E33793-1C42-4800-8D8C-8A047F0E43CC}"/>
    <cellStyle name="20% - Accent1 2 3" xfId="91" xr:uid="{8597435E-AA71-4865-8329-8B338AB70CCC}"/>
    <cellStyle name="20% - Accent1 2 3 2" xfId="1016" xr:uid="{17A656A8-52F7-4F75-A3FC-90B7C6A7ABE4}"/>
    <cellStyle name="20% - Accent1 3" xfId="1017" xr:uid="{BEE3E387-82B1-4F61-B72B-C31FFB2CAA91}"/>
    <cellStyle name="20% - Accent2" xfId="30" builtinId="34" customBuiltin="1"/>
    <cellStyle name="20% - Accent2 2" xfId="92" xr:uid="{3A2D7A03-17E1-4E81-B5B4-B456F302A07B}"/>
    <cellStyle name="20% - Accent2 2 2" xfId="93" xr:uid="{6AF22C6A-2674-40B2-8D0F-AB101521DFA9}"/>
    <cellStyle name="20% - Accent2 2 3" xfId="94" xr:uid="{FF4FE261-7005-47F4-8A08-2849597B3D6F}"/>
    <cellStyle name="20% - Accent2 2 3 2" xfId="1018" xr:uid="{6EFCB68B-7D27-4E70-97CD-35A0F71B8C56}"/>
    <cellStyle name="20% - Accent2 3" xfId="1019" xr:uid="{D087FB8E-D2A6-4F07-B2F6-E9B9B9509FB2}"/>
    <cellStyle name="20% - Accent3" xfId="33" builtinId="38" customBuiltin="1"/>
    <cellStyle name="20% - Accent3 2" xfId="95" xr:uid="{91E4E9D4-DF28-4A1E-92F4-F6D72001EF7D}"/>
    <cellStyle name="20% - Accent3 2 2" xfId="96" xr:uid="{ECBA7384-9BA2-41BB-9E05-DE856411A051}"/>
    <cellStyle name="20% - Accent3 2 3" xfId="97" xr:uid="{752552AF-AEDD-406D-BF7F-28A562253D9B}"/>
    <cellStyle name="20% - Accent3 2 4" xfId="98" xr:uid="{6C3BAF12-9D01-4CAB-9259-B1357A082F28}"/>
    <cellStyle name="20% - Accent3 2 4 2" xfId="1020" xr:uid="{8FF666A1-7565-40F8-B921-A414D5DA507C}"/>
    <cellStyle name="20% - Accent3 3" xfId="99" xr:uid="{2C554078-288B-49D6-95F8-9372D3F511A4}"/>
    <cellStyle name="20% - Accent3 4" xfId="1021" xr:uid="{728B5137-DFF2-496D-8A47-F5252694D44F}"/>
    <cellStyle name="20% - Accent4" xfId="36" builtinId="42" customBuiltin="1"/>
    <cellStyle name="20% - Accent4 2" xfId="100" xr:uid="{64C1884D-0393-498B-9766-C1B3D8B675D9}"/>
    <cellStyle name="20% - Accent4 2 2" xfId="101" xr:uid="{3241FBB1-7514-4C87-A835-FF4741692BEC}"/>
    <cellStyle name="20% - Accent4 2 3" xfId="102" xr:uid="{3F9DCB3C-3D73-4829-AA1C-92A33F8B6B5C}"/>
    <cellStyle name="20% - Accent4 2 3 2" xfId="1022" xr:uid="{A83B88AF-0B95-484C-9372-2C8996DDFF45}"/>
    <cellStyle name="20% - Accent4 3" xfId="1023" xr:uid="{55EC5438-EC38-44FC-A682-AED98498F5D1}"/>
    <cellStyle name="20% - Accent5" xfId="39" builtinId="46" customBuiltin="1"/>
    <cellStyle name="20% - Accent5 2" xfId="103" xr:uid="{ACC1E370-6F42-4FE7-86C9-708760FEB07D}"/>
    <cellStyle name="20% - Accent5 2 2" xfId="104" xr:uid="{12ABB71B-5C40-42A0-9ACC-1BB68E2E7D16}"/>
    <cellStyle name="20% - Accent5 3" xfId="1024" xr:uid="{4DCAAAB0-C90E-4BDD-AFF1-E5896F937B21}"/>
    <cellStyle name="20% - Accent6" xfId="42" builtinId="50" customBuiltin="1"/>
    <cellStyle name="20% - Accent6 2" xfId="105" xr:uid="{B956E5C3-6240-408B-AE63-0320A9CE3ACF}"/>
    <cellStyle name="20% - Accent6 2 2" xfId="106" xr:uid="{444A1844-834D-425A-8540-0D935303075A}"/>
    <cellStyle name="20% - Accent6 3" xfId="1025" xr:uid="{9090396B-E58C-4FC9-8300-76A0F137B17A}"/>
    <cellStyle name="40% - Accent1" xfId="28" builtinId="31" customBuiltin="1"/>
    <cellStyle name="40% - Accent1 2" xfId="107" xr:uid="{6676CF2E-46D9-4485-84DB-0EF7B3282EFC}"/>
    <cellStyle name="40% - Accent1 2 2" xfId="108" xr:uid="{0B3FD325-9111-4CDD-B5E8-5270CEFD4734}"/>
    <cellStyle name="40% - Accent1 3" xfId="1026" xr:uid="{1F85260C-CB30-411A-99BF-729146770DF9}"/>
    <cellStyle name="40% - Accent2" xfId="31" builtinId="35" customBuiltin="1"/>
    <cellStyle name="40% - Accent2 2" xfId="109" xr:uid="{CBE059E0-C766-4A90-A2D9-07424804CFC7}"/>
    <cellStyle name="40% - Accent2 2 2" xfId="110" xr:uid="{28B515A6-2A73-48B8-A3C7-C638C074D667}"/>
    <cellStyle name="40% - Accent2 3" xfId="1027" xr:uid="{4F7489DB-17FB-4A0C-8A3F-6C99942DD10A}"/>
    <cellStyle name="40% - Accent3" xfId="34" builtinId="39" customBuiltin="1"/>
    <cellStyle name="40% - Accent3 2" xfId="111" xr:uid="{E28010BA-D9DF-4376-B34D-23F8815FAB2B}"/>
    <cellStyle name="40% - Accent3 2 2" xfId="112" xr:uid="{1EFC954C-DDC6-4263-BD7A-AF85E68DF8B4}"/>
    <cellStyle name="40% - Accent3 2 3" xfId="113" xr:uid="{E3419B9E-0226-4CA6-AB6D-6FB8CF55E0E2}"/>
    <cellStyle name="40% - Accent3 2 3 2" xfId="1028" xr:uid="{D590A603-9FF6-403E-A1EC-D82AC4B66F98}"/>
    <cellStyle name="40% - Accent3 3" xfId="1029" xr:uid="{A9A6535F-EB3B-4577-A600-E91C781E2DE9}"/>
    <cellStyle name="40% - Accent4" xfId="37" builtinId="43" customBuiltin="1"/>
    <cellStyle name="40% - Accent4 2" xfId="114" xr:uid="{A6406E39-257D-41D5-8CF9-03A8BBBBFB33}"/>
    <cellStyle name="40% - Accent4 2 2" xfId="115" xr:uid="{A2FFE199-31EA-41AA-97DC-ADA235C2991D}"/>
    <cellStyle name="40% - Accent4 3" xfId="1030" xr:uid="{26529B7D-7BA1-40B8-BF28-32D783E10011}"/>
    <cellStyle name="40% - Accent5" xfId="40" builtinId="47" customBuiltin="1"/>
    <cellStyle name="40% - Accent5 2" xfId="116" xr:uid="{BA7FAF00-EFE4-4DD0-A045-1B6C157D04D1}"/>
    <cellStyle name="40% - Accent5 2 2" xfId="117" xr:uid="{260F69D5-B7B9-4C27-80F6-ED8268770D67}"/>
    <cellStyle name="40% - Accent5 3" xfId="1031" xr:uid="{E0B63B0D-C0AF-42D5-BE50-6DA6F9A1122B}"/>
    <cellStyle name="40% - Accent6" xfId="43" builtinId="51" customBuiltin="1"/>
    <cellStyle name="40% - Accent6 2" xfId="118" xr:uid="{F42D90B1-FBE9-4307-A5FA-342AA3F8BBB2}"/>
    <cellStyle name="40% - Accent6 2 2" xfId="119" xr:uid="{E86CBE70-2E38-4FC9-90D0-652DD9CE27E0}"/>
    <cellStyle name="40% - Accent6 3" xfId="1032" xr:uid="{2E1B9016-B2C9-4ED7-AAC6-4F9CE50663C1}"/>
    <cellStyle name="60% - Accent1 2" xfId="121" xr:uid="{9AFCBEDC-82ED-44B4-A58B-D2C2B3657B16}"/>
    <cellStyle name="60% - Accent1 2 2" xfId="122" xr:uid="{D062CD2F-4F21-4252-B379-E50CF07BF9CB}"/>
    <cellStyle name="60% - Accent1 3" xfId="120" xr:uid="{12769433-93AF-422C-B684-172F891DE746}"/>
    <cellStyle name="60% - Accent2 2" xfId="124" xr:uid="{57A27CB0-2255-47E2-B213-0FC070F88FDA}"/>
    <cellStyle name="60% - Accent2 2 2" xfId="125" xr:uid="{E97F3075-489E-4836-B6BC-77D0F489C4DE}"/>
    <cellStyle name="60% - Accent2 3" xfId="123" xr:uid="{7BC3B0F8-B9ED-4BCE-BCEB-509564A73E2B}"/>
    <cellStyle name="60% - Accent3 2" xfId="127" xr:uid="{9F91D88D-E53D-4A0D-8BB0-CF0FDEA88223}"/>
    <cellStyle name="60% - Accent3 2 2" xfId="128" xr:uid="{D4A53E9A-B4EF-4B7F-BA14-1118EED0D38E}"/>
    <cellStyle name="60% - Accent3 2 3" xfId="129" xr:uid="{B5FD240B-1319-4134-9711-A45B99E12009}"/>
    <cellStyle name="60% - Accent3 3" xfId="126" xr:uid="{AFE45F06-C2E6-4E95-BA16-0FC3D54A4D13}"/>
    <cellStyle name="60% - Accent4 2" xfId="131" xr:uid="{88B9622A-4860-4DF0-B779-256B429FE74C}"/>
    <cellStyle name="60% - Accent4 2 2" xfId="132" xr:uid="{31C3318F-2CC5-4093-B4A6-18457CACFE38}"/>
    <cellStyle name="60% - Accent4 2 3" xfId="133" xr:uid="{B66EF387-12D6-4C08-B788-BECEC70FCD62}"/>
    <cellStyle name="60% - Accent4 3" xfId="130" xr:uid="{94C7CD5F-BB30-4094-8876-48A602F17C08}"/>
    <cellStyle name="60% - Accent5 2" xfId="135" xr:uid="{B802CF1A-A0E5-42CB-8122-EA6944343BD4}"/>
    <cellStyle name="60% - Accent5 2 2" xfId="136" xr:uid="{B58AD338-FB0E-4DB6-B7A0-78C28E55025E}"/>
    <cellStyle name="60% - Accent5 3" xfId="134" xr:uid="{490B2FEB-C965-4B6D-985C-0472FF33876B}"/>
    <cellStyle name="60% - Accent6 2" xfId="138" xr:uid="{BAE45C72-E5D9-4970-8006-A532F4B68CA1}"/>
    <cellStyle name="60% - Accent6 2 2" xfId="139" xr:uid="{ED300B56-D416-48EC-8E49-EA9E59E5598F}"/>
    <cellStyle name="60% - Accent6 2 3" xfId="140" xr:uid="{04CCAF0A-F2BC-4908-9AED-020CD5DE6112}"/>
    <cellStyle name="60% - Accent6 3" xfId="137" xr:uid="{AD83C326-6616-473A-9969-E33EA091D5FB}"/>
    <cellStyle name="Accent1" xfId="26" builtinId="29" customBuiltin="1"/>
    <cellStyle name="Accent1 2" xfId="141" xr:uid="{7EA54396-B64D-45E4-BBBD-1462BBD942D2}"/>
    <cellStyle name="Accent1 2 2" xfId="142" xr:uid="{1661E229-3318-4790-828F-415B4D8DCB0E}"/>
    <cellStyle name="Accent2" xfId="29" builtinId="33" customBuiltin="1"/>
    <cellStyle name="Accent2 2" xfId="143" xr:uid="{948D358B-9E8F-4E4E-9720-285ADFB10E46}"/>
    <cellStyle name="Accent2 2 2" xfId="144" xr:uid="{8811916E-3A8A-4B02-A34E-2B1DA5CC8D25}"/>
    <cellStyle name="Accent3" xfId="32" builtinId="37" customBuiltin="1"/>
    <cellStyle name="Accent3 2" xfId="145" xr:uid="{B9E01D5B-2206-4B35-99BE-F0E31FEB7036}"/>
    <cellStyle name="Accent3 2 2" xfId="146" xr:uid="{75CF3F18-A1C3-4F07-9B08-9D8AD1412C97}"/>
    <cellStyle name="Accent4" xfId="35" builtinId="41" customBuiltin="1"/>
    <cellStyle name="Accent4 2" xfId="147" xr:uid="{16FB37F4-4689-464A-AB19-0AA2E759CD47}"/>
    <cellStyle name="Accent4 2 2" xfId="148" xr:uid="{180E7FB8-E7CE-4D67-A86D-585D90D3B8DF}"/>
    <cellStyle name="Accent5" xfId="38" builtinId="45" customBuiltin="1"/>
    <cellStyle name="Accent5 2" xfId="149" xr:uid="{A18EB4D6-C411-49E8-B467-773839CD5261}"/>
    <cellStyle name="Accent5 2 2" xfId="150" xr:uid="{756658C1-8792-4019-88E5-7C81DC115845}"/>
    <cellStyle name="Accent6" xfId="41" builtinId="49" customBuiltin="1"/>
    <cellStyle name="Accent6 2" xfId="151" xr:uid="{213DAFF1-98DF-46FC-BFC3-4F92AB1199EB}"/>
    <cellStyle name="Accent6 2 2" xfId="152" xr:uid="{0E19EB8A-7629-4B8A-B525-6ADFD7A61C09}"/>
    <cellStyle name="Arial6Bold" xfId="153" xr:uid="{305CBB75-51FA-44CC-98E9-CC7CA9E6B7B4}"/>
    <cellStyle name="Arial6Bold 2" xfId="154" xr:uid="{FDDDCE9F-A7F1-4AC3-BFC1-ADF258257F65}"/>
    <cellStyle name="Arial6Bold 2 2" xfId="155" xr:uid="{EEA01B73-A40B-4706-8371-BCC029611404}"/>
    <cellStyle name="Arial6Bold 2 2 2" xfId="1475" xr:uid="{5B1FA044-003C-4B77-97FC-898C164EF4E3}"/>
    <cellStyle name="Arial6Bold 2 2 3" xfId="1605" xr:uid="{29816B11-0B54-4B2C-B6C0-F9C82019C55B}"/>
    <cellStyle name="Arial6Bold 2 2 4" xfId="1519" xr:uid="{91DA1570-F3D7-4501-9232-5D9565699AC0}"/>
    <cellStyle name="Arial6Bold 2 2 5" xfId="1594" xr:uid="{9EEE07F8-9CE3-4C2A-B468-F1BA4FF74517}"/>
    <cellStyle name="Arial6Bold 2 3" xfId="1474" xr:uid="{197153C7-311B-464E-A2BF-0246794576B0}"/>
    <cellStyle name="Arial6Bold 2 4" xfId="1817" xr:uid="{08F89EA2-9AE5-4A87-9611-C7CDD6953B6F}"/>
    <cellStyle name="Arial6Bold 2 5" xfId="1755" xr:uid="{4061AA9A-A60C-4AAC-BBBF-6DC5D769B8FC}"/>
    <cellStyle name="Arial6Bold 2 6" xfId="1824" xr:uid="{5A964B85-B4E0-42D4-9405-BEDF4F2F2DD8}"/>
    <cellStyle name="Arial6Bold 3" xfId="156" xr:uid="{12A2DB58-BBDB-48B6-96FD-A3D5C1772042}"/>
    <cellStyle name="Arial6Bold 3 2" xfId="1476" xr:uid="{D9C463BD-A556-4BC1-B573-B67161460CA2}"/>
    <cellStyle name="Arial6Bold 3 3" xfId="1816" xr:uid="{28A4EED4-AA87-4DF3-9378-07A717073110}"/>
    <cellStyle name="Arial6Bold 3 4" xfId="1762" xr:uid="{1AB378A1-D49B-461F-A267-28E4625C7FFF}"/>
    <cellStyle name="Arial6Bold 3 5" xfId="1542" xr:uid="{C483346E-CA58-4557-9DFD-43FF9283CDA5}"/>
    <cellStyle name="Arial6Bold 4" xfId="1473" xr:uid="{E73C160A-57B1-4274-BD92-279C2CD1FF4C}"/>
    <cellStyle name="Arial6Bold 5" xfId="1606" xr:uid="{D8265BC6-0F37-41BD-A330-7371B4913FAB}"/>
    <cellStyle name="Arial6Bold 6" xfId="1471" xr:uid="{5603484F-F027-4657-8B24-9378661AE388}"/>
    <cellStyle name="Arial6Bold 7" xfId="1541" xr:uid="{F40D0E1E-7848-4EFB-9426-A37A5E4D8474}"/>
    <cellStyle name="Arial8Bold" xfId="157" xr:uid="{4A236993-2368-4030-9A4A-F99D41759330}"/>
    <cellStyle name="Arial8Bold 2" xfId="158" xr:uid="{9BFF5EE6-4B66-497E-A216-B0378A4C8332}"/>
    <cellStyle name="Arial8Bold 2 2" xfId="159" xr:uid="{28A20602-78D6-4C08-8895-FB2B34A4205B}"/>
    <cellStyle name="Arial8Bold 2 2 2" xfId="1479" xr:uid="{2AEA53FD-A6E5-472C-A724-1883B669DFA6}"/>
    <cellStyle name="Arial8Bold 2 2 3" xfId="1603" xr:uid="{DFE2FF5C-C873-46F0-B3D6-797CD53D4A98}"/>
    <cellStyle name="Arial8Bold 2 2 4" xfId="1835" xr:uid="{85E9A229-2DB6-4A20-B312-DD74ADF5108E}"/>
    <cellStyle name="Arial8Bold 2 2 5" xfId="1595" xr:uid="{C9A23AFA-87D7-4D79-8BA4-D6B0DD706A66}"/>
    <cellStyle name="Arial8Bold 2 3" xfId="1478" xr:uid="{6D5BC055-E0C4-4D8F-8A5F-B06A370E24DA}"/>
    <cellStyle name="Arial8Bold 2 4" xfId="1815" xr:uid="{F76C0937-2C3B-4F25-8A50-DBA17D0C52C5}"/>
    <cellStyle name="Arial8Bold 2 5" xfId="1790" xr:uid="{08DABD56-918E-4351-AAC7-5FD42565614C}"/>
    <cellStyle name="Arial8Bold 2 6" xfId="1823" xr:uid="{5AD65EF5-CC9E-4D8A-B2B7-AB80C47C5C1F}"/>
    <cellStyle name="Arial8Bold 3" xfId="160" xr:uid="{DAB95BA6-61CB-4449-BD8A-8DAFBE45F85F}"/>
    <cellStyle name="Arial8Bold 3 2" xfId="1480" xr:uid="{B8C3B5B1-52A8-43F8-94CA-E2518AB5B01F}"/>
    <cellStyle name="Arial8Bold 3 3" xfId="1814" xr:uid="{5E6EFFFC-C9E4-4640-A4C8-A60E9711C31E}"/>
    <cellStyle name="Arial8Bold 3 4" xfId="1470" xr:uid="{01F385D4-2767-4806-A650-0790D334EC25}"/>
    <cellStyle name="Arial8Bold 3 5" xfId="1775" xr:uid="{270CEB2F-94A2-4FC4-B221-BCC21ED9A811}"/>
    <cellStyle name="Arial8Bold 4" xfId="1477" xr:uid="{F6FD6950-B611-4F3E-A4E5-4C5FD12B8AA5}"/>
    <cellStyle name="Arial8Bold 5" xfId="1604" xr:uid="{14CEB0A3-A4EE-47A9-925D-ACC475C7E62C}"/>
    <cellStyle name="Arial8Bold 6" xfId="1836" xr:uid="{544605FC-94AB-4259-8E14-BB3FDECF6610}"/>
    <cellStyle name="Arial8Bold 7" xfId="1745" xr:uid="{959345AD-5A01-4E75-9126-4489560361D7}"/>
    <cellStyle name="Arial8Italic" xfId="161" xr:uid="{A90F2E71-44C8-4657-894C-BF0C4A56A138}"/>
    <cellStyle name="Arial8Italic 2" xfId="162" xr:uid="{69951358-FC8A-4368-8291-6ECDB5166AE5}"/>
    <cellStyle name="Arial8Italic 2 2" xfId="163" xr:uid="{A9445996-403B-44BA-99A6-143E26033839}"/>
    <cellStyle name="Arial8Italic 2 2 2" xfId="1483" xr:uid="{87DE57D8-89F3-4362-A9AB-DAF834B63FFE}"/>
    <cellStyle name="Arial8Italic 2 2 3" xfId="1601" xr:uid="{E269C535-9502-4B3D-ACA4-A93D3B0F655E}"/>
    <cellStyle name="Arial8Italic 2 2 4" xfId="1833" xr:uid="{25869A97-A4E3-482A-8C3E-01123BFB8B28}"/>
    <cellStyle name="Arial8Italic 2 2 5" xfId="1694" xr:uid="{687971D5-9B5C-4B93-A2BD-E73584032EAF}"/>
    <cellStyle name="Arial8Italic 2 3" xfId="1482" xr:uid="{30E1F09D-42D0-415E-A5FA-F737AA811179}"/>
    <cellStyle name="Arial8Italic 2 4" xfId="1813" xr:uid="{B2D4883B-B8B3-447D-8BD1-B259F4744F56}"/>
    <cellStyle name="Arial8Italic 2 5" xfId="1558" xr:uid="{364BC257-07E9-4E09-88D8-3496629A7095}"/>
    <cellStyle name="Arial8Italic 2 6" xfId="1543" xr:uid="{829CC586-C4ED-4727-A2F3-C400CEB204C9}"/>
    <cellStyle name="Arial8Italic 3" xfId="164" xr:uid="{7D255588-3732-4664-9BD1-BC06F26F9689}"/>
    <cellStyle name="Arial8Italic 3 2" xfId="1484" xr:uid="{94A54666-F291-45A4-85FA-642B9025FF6B}"/>
    <cellStyle name="Arial8Italic 3 3" xfId="1812" xr:uid="{A42E737B-E898-4440-9646-D1107E809F45}"/>
    <cellStyle name="Arial8Italic 3 4" xfId="1789" xr:uid="{34A02B52-CEFA-491B-967D-E05EB2CCD9A8}"/>
    <cellStyle name="Arial8Italic 3 5" xfId="1809" xr:uid="{E413B98F-C563-4374-8202-DFA1B26C5463}"/>
    <cellStyle name="Arial8Italic 4" xfId="1481" xr:uid="{89E2F7C9-EED4-4359-94DF-D2D1D37A510B}"/>
    <cellStyle name="Arial8Italic 5" xfId="1602" xr:uid="{C0E47C97-596B-4202-AC16-236856131BF2}"/>
    <cellStyle name="Arial8Italic 6" xfId="1834" xr:uid="{58BF80E1-5AC5-4048-961B-CCB880E9DFCE}"/>
    <cellStyle name="Arial8Italic 7" xfId="1509" xr:uid="{51FA24C4-9336-4823-AC16-104D01D333AD}"/>
    <cellStyle name="ArialNormal" xfId="165" xr:uid="{5D5C647E-81DA-4D34-A3A2-ABED468F4B48}"/>
    <cellStyle name="ArialNormal 2" xfId="166" xr:uid="{4B815DC0-8542-4CCD-84A4-E95093E02EC8}"/>
    <cellStyle name="ArialNormal 2 2" xfId="1486" xr:uid="{58B43BEE-71FF-4EA8-BE46-0D33BB78A117}"/>
    <cellStyle name="ArialNormal 2 3" xfId="1599" xr:uid="{2649C56F-E42D-4848-A495-F92B6CF9275A}"/>
    <cellStyle name="ArialNormal 2 4" xfId="1557" xr:uid="{6DE8374F-309F-4212-B22A-C94340068D6F}"/>
    <cellStyle name="ArialNormal 2 5" xfId="1753" xr:uid="{DE546D7F-A322-4B73-8706-5B4F5CD2C5F1}"/>
    <cellStyle name="ArialNormal 3" xfId="1485" xr:uid="{7E20DFB4-B8D9-4680-A973-A524CD75E2D3}"/>
    <cellStyle name="ArialNormal 4" xfId="1600" xr:uid="{28EB3B34-2F49-450B-9EE6-F065C5DB274C}"/>
    <cellStyle name="ArialNormal 5" xfId="1832" xr:uid="{779479A6-56B9-4D09-8250-9F44F28481D2}"/>
    <cellStyle name="ArialNormal 6" xfId="1822" xr:uid="{64101AAE-A0E5-46AD-9FC9-D0B0428B850F}"/>
    <cellStyle name="Bad" xfId="17" builtinId="27" customBuiltin="1"/>
    <cellStyle name="Bad 2" xfId="167" xr:uid="{BB8C4E92-EA8E-4915-B3D0-C6022C119667}"/>
    <cellStyle name="Bad 2 2" xfId="168" xr:uid="{C8F0DE79-492D-43E6-B6FC-1C5E01BB02AA}"/>
    <cellStyle name="Body" xfId="169" xr:uid="{ADA381C5-3FE7-4B24-B105-C12FB46DA1E9}"/>
    <cellStyle name="Ç¥ÁØ_ÀÎÀç°³¹ß¿ø" xfId="170" xr:uid="{26B9D1CD-AEDE-4336-9D8A-3EF9C249EE31}"/>
    <cellStyle name="Calculation" xfId="20" builtinId="22" customBuiltin="1"/>
    <cellStyle name="Calculation 2" xfId="171" xr:uid="{B6088F0D-3766-47A0-9751-02F7D070D764}"/>
    <cellStyle name="Calculation 2 2" xfId="172" xr:uid="{0AFCD66A-BE9C-45FE-84A5-8FDA9D189237}"/>
    <cellStyle name="Calculation 2 2 2" xfId="1487" xr:uid="{41169FE3-5108-4869-9A9E-36E29BA1F669}"/>
    <cellStyle name="Calculation 2 2 3" xfId="1811" xr:uid="{3E6C5A14-3661-4F0A-9544-4DB4A3D0861D}"/>
    <cellStyle name="Calculation 2 2 4" xfId="1468" xr:uid="{8E6DC459-7836-4F47-9B4A-9D451C144ABC}"/>
    <cellStyle name="Calculation 2 2 5" xfId="1515" xr:uid="{E0F1A56D-6500-4EB9-B1DF-4CC9A7F37860}"/>
    <cellStyle name="Calculation 2 3" xfId="173" xr:uid="{6D67BECA-97CE-4233-8A67-B5277C9C2533}"/>
    <cellStyle name="Calculation 2 3 2" xfId="1488" xr:uid="{6EB179A4-DB65-4113-A48A-DAE87F834CF4}"/>
    <cellStyle name="Calculation 2 3 3" xfId="1598" xr:uid="{3E530653-BA20-419E-89B5-9F33EE208A86}"/>
    <cellStyle name="Calculation 2 3 4" xfId="1831" xr:uid="{6E748FFB-1514-4C20-A442-E0238984F38C}"/>
    <cellStyle name="Calculation 2 3 5" xfId="1776" xr:uid="{12082502-B75B-43B2-979A-DDCC8A3354BD}"/>
    <cellStyle name="Check Cell" xfId="22" builtinId="23" customBuiltin="1"/>
    <cellStyle name="Check Cell 2" xfId="174" xr:uid="{14BAC1CB-5E1B-49B5-ADC5-0B90B105ED87}"/>
    <cellStyle name="Check Cell 2 2" xfId="175" xr:uid="{49B92D93-8F04-47C7-9E0E-0930843F5DF8}"/>
    <cellStyle name="Comma" xfId="1" builtinId="3"/>
    <cellStyle name="Comma  - Style1" xfId="177" xr:uid="{D35CB1A3-70BA-42D1-AA22-4740F86AB4A7}"/>
    <cellStyle name="Comma  - Style1 2" xfId="178" xr:uid="{99F3A5BF-898E-4411-8553-CE0E4F09EA24}"/>
    <cellStyle name="Comma  - Style2" xfId="179" xr:uid="{853151E0-A917-47DD-9258-12612F8ADE81}"/>
    <cellStyle name="Comma  - Style2 2" xfId="180" xr:uid="{5E8A7E9C-69A8-4D21-B90D-AED6205267DA}"/>
    <cellStyle name="Comma  - Style3" xfId="181" xr:uid="{5D4B8637-6C85-4A1F-A36A-3CCE7004421B}"/>
    <cellStyle name="Comma  - Style3 2" xfId="182" xr:uid="{6729B0C6-6C20-4F42-A452-49C80D34EB1A}"/>
    <cellStyle name="Comma  - Style4" xfId="183" xr:uid="{5FB83405-0BF0-4EFB-9B8F-B945F7C86745}"/>
    <cellStyle name="Comma  - Style4 2" xfId="184" xr:uid="{59C52380-127D-46D3-8F0C-E8D70001711F}"/>
    <cellStyle name="Comma  - Style5" xfId="185" xr:uid="{0447E226-86EA-4D73-877D-64E53A77B09F}"/>
    <cellStyle name="Comma  - Style5 2" xfId="186" xr:uid="{08B5F9DA-5FDE-4FAE-9A87-DFF35A27EADB}"/>
    <cellStyle name="Comma  - Style6" xfId="187" xr:uid="{3CC54EE0-1E6B-445B-A03D-740C396741DD}"/>
    <cellStyle name="Comma  - Style6 2" xfId="188" xr:uid="{8CBAAA25-18C5-48F8-8452-3B3CBAABB123}"/>
    <cellStyle name="Comma  - Style7" xfId="189" xr:uid="{79A75AC7-DCB5-49EC-BB85-65EBC1B0A049}"/>
    <cellStyle name="Comma  - Style7 2" xfId="190" xr:uid="{B8B1C16F-568B-4254-B92C-55CE37293483}"/>
    <cellStyle name="Comma  - Style8" xfId="191" xr:uid="{C6786D6F-D6AA-4AE8-A6A8-1D8EEFA8C1E7}"/>
    <cellStyle name="Comma  - Style8 2" xfId="192" xr:uid="{AF5B545D-79B2-4B34-B796-71CE72BB6C47}"/>
    <cellStyle name="Comma 10" xfId="193" xr:uid="{4BD1CEB6-3CB3-4A40-A722-29DAC85471F6}"/>
    <cellStyle name="Comma 10 2" xfId="194" xr:uid="{40EC1DD5-7998-4A41-A2B6-E28ACA557347}"/>
    <cellStyle name="Comma 10 2 2 2 2" xfId="999" xr:uid="{C1F8A0D3-6332-412B-B0FC-E3B8E349F842}"/>
    <cellStyle name="Comma 10 2 2 2 2 2" xfId="1033" xr:uid="{4533D4DE-A832-4CE3-B741-3364965027B4}"/>
    <cellStyle name="Comma 10 3" xfId="195" xr:uid="{1562091E-1DAF-4CB9-953C-EE173B09E46B}"/>
    <cellStyle name="Comma 10 3 2" xfId="1034" xr:uid="{F6AEA44F-3A06-4008-8FA0-428CF68BCAF5}"/>
    <cellStyle name="Comma 10 3 3" xfId="9" xr:uid="{D0839A59-DA73-4F25-A962-4D40B7C52B06}"/>
    <cellStyle name="Comma 10 4" xfId="1035" xr:uid="{8F0F1B4E-12E8-4A91-A901-B95EE4C88BC3}"/>
    <cellStyle name="Comma 100" xfId="1506" xr:uid="{584B2F05-46C8-48DD-9E2E-F5557102AC37}"/>
    <cellStyle name="Comma 11" xfId="196" xr:uid="{84B2E519-00E9-44DE-892F-0DD6FB3DD212}"/>
    <cellStyle name="Comma 12" xfId="197" xr:uid="{43464C32-B136-4446-A0CE-1E17C7AFBF47}"/>
    <cellStyle name="Comma 12 2" xfId="198" xr:uid="{4370E12A-91F3-4FDF-950C-6F9D2AB6B69F}"/>
    <cellStyle name="Comma 12 2 2" xfId="199" xr:uid="{925AC2B0-AF37-468D-8674-77D9498F48EC}"/>
    <cellStyle name="Comma 12 2 2 2" xfId="1036" xr:uid="{E9175587-D451-40CF-85BA-D703A4B800F8}"/>
    <cellStyle name="Comma 12 2 3" xfId="1037" xr:uid="{1ECCA621-CD74-493A-9335-00BA1081AA8D}"/>
    <cellStyle name="Comma 12 3" xfId="1038" xr:uid="{D99620D3-1A2D-494F-8A03-98B87D5AA7C4}"/>
    <cellStyle name="Comma 13" xfId="200" xr:uid="{63D0D00A-972F-424D-908E-9262C67CCC9E}"/>
    <cellStyle name="Comma 13 2" xfId="201" xr:uid="{E5F368F7-6F50-4213-802B-E4AA618EBE1F}"/>
    <cellStyle name="Comma 13 2 2" xfId="1039" xr:uid="{2E099A5F-5331-49EC-BADC-2E9344203B11}"/>
    <cellStyle name="Comma 13 3" xfId="1040" xr:uid="{8C50796C-3405-48BD-80DE-7D5B937A03E7}"/>
    <cellStyle name="Comma 14" xfId="202" xr:uid="{5220975F-AA0A-47A9-B207-549437BB4B9B}"/>
    <cellStyle name="Comma 14 2" xfId="203" xr:uid="{B1BBDDBD-BF1C-42DA-AA93-64E10768EC3E}"/>
    <cellStyle name="Comma 14 2 2" xfId="204" xr:uid="{17D3478B-2B11-4E41-98E7-36BD266982F6}"/>
    <cellStyle name="Comma 14 2 2 2" xfId="1041" xr:uid="{05B12837-4D87-4F3C-A4BE-2E058A15D796}"/>
    <cellStyle name="Comma 14 2 3" xfId="1042" xr:uid="{94A238C4-B344-4088-A214-838D42613698}"/>
    <cellStyle name="Comma 14 3" xfId="205" xr:uid="{DD955FFA-7D7C-4216-BBF6-565331014E02}"/>
    <cellStyle name="Comma 14 3 2" xfId="1043" xr:uid="{3BB84DED-3718-4C52-BCF4-072484479C44}"/>
    <cellStyle name="Comma 14 4" xfId="1044" xr:uid="{6FDAC355-0F39-4E4F-96E3-679616481904}"/>
    <cellStyle name="Comma 142" xfId="1000" xr:uid="{DD8664B7-E6D9-4BC4-857D-EFEE2CEFFCF7}"/>
    <cellStyle name="Comma 142 2" xfId="1045" xr:uid="{58B3B64C-1CCF-47EC-8779-34269DBA43EC}"/>
    <cellStyle name="Comma 15" xfId="206" xr:uid="{01953BAB-D38D-45AF-B0C4-C10C701BA106}"/>
    <cellStyle name="Comma 15 2" xfId="207" xr:uid="{1476229E-C988-445B-A218-20AB17F92E16}"/>
    <cellStyle name="Comma 15 2 2" xfId="1046" xr:uid="{AFB5F5F2-520F-4DB3-9F98-C02EFAED6A77}"/>
    <cellStyle name="Comma 15 3" xfId="1047" xr:uid="{8AF1FA65-035F-44EA-BFE8-BFFA70903CDA}"/>
    <cellStyle name="Comma 16" xfId="208" xr:uid="{0362134F-B2D2-4633-BBF7-9EA11D7B5E83}"/>
    <cellStyle name="Comma 16 2" xfId="209" xr:uid="{7E47C220-2E5D-4BF0-AF81-EED55FBF7712}"/>
    <cellStyle name="Comma 16 2 2" xfId="1048" xr:uid="{3F943FB0-252B-462B-A062-C79B4FF1DB81}"/>
    <cellStyle name="Comma 17" xfId="210" xr:uid="{4AF0702D-943E-439D-BB3E-7E591C2B4F71}"/>
    <cellStyle name="Comma 17 2" xfId="211" xr:uid="{704CAC5F-A262-4AD0-BFBD-A3A82B439388}"/>
    <cellStyle name="Comma 17 2 2" xfId="1049" xr:uid="{19F28C42-77C5-4529-8CD6-389CB887CC1E}"/>
    <cellStyle name="Comma 18" xfId="212" xr:uid="{BF44114A-A88C-4280-9D32-90D673453640}"/>
    <cellStyle name="Comma 18 2" xfId="213" xr:uid="{C917BBEA-11A4-47E0-B10E-864493237F7F}"/>
    <cellStyle name="Comma 18 2 2" xfId="1050" xr:uid="{8F4D72EA-AB83-4182-8281-8D4B0A5C4D63}"/>
    <cellStyle name="Comma 18 3" xfId="1051" xr:uid="{66C565A0-6672-4828-99A4-4F06CAF6FF3B}"/>
    <cellStyle name="Comma 19" xfId="214" xr:uid="{F0E4D946-975B-4188-BE8C-1DFB1FFC3D2E}"/>
    <cellStyle name="Comma 19 2" xfId="1052" xr:uid="{6119106D-D909-45D4-A766-0B5A9453ACD9}"/>
    <cellStyle name="Comma 2" xfId="53" xr:uid="{F97E3904-04BE-4028-A194-2ADACD8ED9B0}"/>
    <cellStyle name="Comma 2 2" xfId="216" xr:uid="{12FEEB70-9D44-4206-A9E7-28D6A686CA4B}"/>
    <cellStyle name="Comma 2 2 2" xfId="217" xr:uid="{C9AA02EE-5BF9-42E7-8F43-36E33F176531}"/>
    <cellStyle name="Comma 2 2 2 2" xfId="983" xr:uid="{C0DBE9F1-D21E-44FF-8A0D-59CDF617BBF8}"/>
    <cellStyle name="Comma 2 2 2 2 2" xfId="1053" xr:uid="{C2750D20-F58B-4076-8BF8-D33C0E69AB6C}"/>
    <cellStyle name="Comma 2 2 2 3" xfId="1054" xr:uid="{8856BDCD-80E9-4DAA-993B-59B745D1637A}"/>
    <cellStyle name="Comma 2 2 3" xfId="218" xr:uid="{9B2E57A9-4D48-42FF-B38E-EEB84A68793F}"/>
    <cellStyle name="Comma 2 2 3 2" xfId="1055" xr:uid="{C00BAAC8-2E3B-4E25-8B0D-EC30B774D25C}"/>
    <cellStyle name="Comma 2 2 4" xfId="984" xr:uid="{0AED60E8-9BDD-4E2A-9371-04993AD9917C}"/>
    <cellStyle name="Comma 2 2 4 2" xfId="1056" xr:uid="{F6980EC1-F5AA-41BE-ACAC-1E21F2A4A939}"/>
    <cellStyle name="Comma 2 3" xfId="219" xr:uid="{F20AAAEE-C476-4C42-BD86-9C5816131753}"/>
    <cellStyle name="Comma 2 3 2" xfId="220" xr:uid="{DC1BB252-001E-4781-820B-A110920706AA}"/>
    <cellStyle name="Comma 2 3 2 2" xfId="1057" xr:uid="{4A1E355B-BE94-4FC2-928A-C18AF8135FE6}"/>
    <cellStyle name="Comma 2 3 3" xfId="985" xr:uid="{ECD090EC-9148-4A7F-8732-C1691D49D350}"/>
    <cellStyle name="Comma 2 3 3 2" xfId="1058" xr:uid="{D3A7DCEC-30D6-4F20-85E9-10CFD5F48922}"/>
    <cellStyle name="Comma 2 3 4" xfId="1059" xr:uid="{25226F1C-6AF2-4CC6-982D-67FA3556DEEF}"/>
    <cellStyle name="Comma 2 4" xfId="221" xr:uid="{946C6BE4-246C-4560-8A2D-9B77FF141083}"/>
    <cellStyle name="Comma 2 4 2" xfId="1060" xr:uid="{6692544F-262E-4F48-9817-F23899368EC5}"/>
    <cellStyle name="Comma 2 5" xfId="215" xr:uid="{9E0C7822-94A4-400C-AB24-5B48B3875BA9}"/>
    <cellStyle name="Comma 2 6" xfId="976" xr:uid="{2EF7092A-8D3F-476D-A2E9-7690A619BBA8}"/>
    <cellStyle name="Comma 2 6 2" xfId="1061" xr:uid="{86238262-2443-48C7-BB11-C11067E18791}"/>
    <cellStyle name="Comma 2 7" xfId="1062" xr:uid="{298A6740-5290-4954-AD10-C34411B7DDC0}"/>
    <cellStyle name="Comma 2_Sheet1" xfId="986" xr:uid="{B2ABF47A-5EFF-4688-AC79-AEC1BCC2C5F8}"/>
    <cellStyle name="Comma 20" xfId="222" xr:uid="{344EDC70-570B-4598-B0EA-B243284C2C02}"/>
    <cellStyle name="Comma 20 2" xfId="1063" xr:uid="{5CFA8C07-D98D-4A69-BE2E-C494B924C2C0}"/>
    <cellStyle name="Comma 21" xfId="223" xr:uid="{BBEF2DF9-58F5-4AFF-9CD1-28265B927554}"/>
    <cellStyle name="Comma 21 2" xfId="1064" xr:uid="{198B8640-65E6-4BAB-899B-385234E6968C}"/>
    <cellStyle name="Comma 22" xfId="224" xr:uid="{A0C2E117-373D-438E-9FB8-98CC25376498}"/>
    <cellStyle name="Comma 22 2" xfId="1065" xr:uid="{E33602E0-C4DF-42DE-9305-9F3962B84515}"/>
    <cellStyle name="Comma 23" xfId="225" xr:uid="{6B8E16A8-C5A4-4CA3-BCFC-B4D7A5FD938C}"/>
    <cellStyle name="Comma 23 2" xfId="1066" xr:uid="{08757266-BF6F-490A-A0A4-F1338144AC55}"/>
    <cellStyle name="Comma 24" xfId="226" xr:uid="{DF63F354-6803-47B7-85DD-875ECB42D46E}"/>
    <cellStyle name="Comma 24 2" xfId="1067" xr:uid="{2049C847-A5A5-4FF8-A3CF-CE5F48187ACB}"/>
    <cellStyle name="Comma 25" xfId="227" xr:uid="{729027F8-7094-4E60-B5A9-0ED01F40AEFE}"/>
    <cellStyle name="Comma 25 2" xfId="1068" xr:uid="{419F009C-B06D-42C5-B3EF-873430384130}"/>
    <cellStyle name="Comma 26" xfId="228" xr:uid="{D4A15026-CB9D-43B3-A888-B70C2A10F9E7}"/>
    <cellStyle name="Comma 26 2" xfId="1069" xr:uid="{04807709-A3A7-41FC-8D5F-D426E3451F49}"/>
    <cellStyle name="Comma 27" xfId="229" xr:uid="{D8BDB4E0-AC67-46C1-AC77-F79206E134CD}"/>
    <cellStyle name="Comma 27 2" xfId="1070" xr:uid="{97E64168-BD8D-4591-B518-944652F1554E}"/>
    <cellStyle name="Comma 28" xfId="230" xr:uid="{58D9C87C-3D4C-4FB2-BEE7-F735EE8304A7}"/>
    <cellStyle name="Comma 28 2" xfId="1071" xr:uid="{320C17D7-B180-4D43-B260-D0116CB52159}"/>
    <cellStyle name="Comma 29" xfId="231" xr:uid="{0B661D78-229A-4D4F-BCB8-95926022A6FC}"/>
    <cellStyle name="Comma 29 2" xfId="1072" xr:uid="{8AC607E8-2383-4A7F-B994-3E1279938164}"/>
    <cellStyle name="Comma 3" xfId="55" xr:uid="{878792DF-7F2D-4985-9C0C-0A30601EF58A}"/>
    <cellStyle name="Comma 3 2" xfId="233" xr:uid="{E699C9FE-2136-4237-9EEF-74EB37F254A6}"/>
    <cellStyle name="Comma 3 2 2" xfId="987" xr:uid="{E9F009FC-0357-42B3-B0AD-20F8F84A3E1C}"/>
    <cellStyle name="Comma 3 2 2 2" xfId="1073" xr:uid="{6E6DE407-340A-4F3E-AAB0-0C912F2954CC}"/>
    <cellStyle name="Comma 3 2 3" xfId="1074" xr:uid="{D6AA606C-95FF-480A-8EFB-959AC65BC375}"/>
    <cellStyle name="Comma 3 3" xfId="234" xr:uid="{FDA04C0C-9BDD-49B2-9996-EBFB224FAF97}"/>
    <cellStyle name="Comma 3 3 2" xfId="235" xr:uid="{CDC7FE8C-190D-455A-8C31-7A42A76612FE}"/>
    <cellStyle name="Comma 3 3 2 2" xfId="1075" xr:uid="{4BD5C167-E0BD-4AA2-AC67-5098E4660745}"/>
    <cellStyle name="Comma 3 3 3" xfId="1076" xr:uid="{08AA39CE-DD07-4A61-8512-0916421AA5B0}"/>
    <cellStyle name="Comma 3 4" xfId="236" xr:uid="{C2ABB596-232C-4E20-87EC-04F984BF9DCD}"/>
    <cellStyle name="Comma 3 4 2" xfId="1077" xr:uid="{4C5C5A9E-3510-44D7-8318-035AE39A0C08}"/>
    <cellStyle name="Comma 3 5" xfId="237" xr:uid="{FDA31CC8-4162-4021-8EA7-74845F53C80F}"/>
    <cellStyle name="Comma 3 5 2" xfId="1078" xr:uid="{E1CFC8C4-0BFC-4ECA-93D3-2242A128403B}"/>
    <cellStyle name="Comma 3 6" xfId="238" xr:uid="{721BAF11-FEBC-42C2-BDB6-9AF52033FE34}"/>
    <cellStyle name="Comma 3 6 2" xfId="1079" xr:uid="{FEB24190-F828-40B9-BB93-40BB4EC0E939}"/>
    <cellStyle name="Comma 3 7" xfId="232" xr:uid="{BBAD1033-4AC6-4DB2-838D-1B227B5EDE5B}"/>
    <cellStyle name="Comma 3 8" xfId="988" xr:uid="{28F01788-AA75-49AD-B22A-35892E7AED03}"/>
    <cellStyle name="Comma 3 8 2" xfId="1080" xr:uid="{8DE5E1C0-62FE-4CC9-9845-4A602E74E973}"/>
    <cellStyle name="Comma 3 9" xfId="1081" xr:uid="{4A268C57-9FCE-4A6D-81F9-7088308AA067}"/>
    <cellStyle name="Comma 30" xfId="239" xr:uid="{FC299955-5F90-4185-A8CA-A3ED29744FDB}"/>
    <cellStyle name="Comma 30 2" xfId="1082" xr:uid="{A079EA47-FA37-46CC-93D1-9C884011BC09}"/>
    <cellStyle name="Comma 31" xfId="240" xr:uid="{D361B347-E660-4863-8748-CAE5D3DBC0C3}"/>
    <cellStyle name="Comma 31 2" xfId="1083" xr:uid="{60BE7782-EF34-4F04-9695-34B28746808F}"/>
    <cellStyle name="Comma 32" xfId="241" xr:uid="{F456C3DD-5171-430A-88D5-4924D3625ED6}"/>
    <cellStyle name="Comma 32 2" xfId="1084" xr:uid="{D791E178-07B1-4A96-8B10-712FD1F1FD96}"/>
    <cellStyle name="Comma 33" xfId="242" xr:uid="{F36D806A-7491-464D-910D-13310AC35437}"/>
    <cellStyle name="Comma 33 2" xfId="1085" xr:uid="{0B775BC1-D809-4D32-AA2F-8735CE8E7AFA}"/>
    <cellStyle name="Comma 34" xfId="243" xr:uid="{E84244D4-8646-4604-A78D-7CD078E73ACF}"/>
    <cellStyle name="Comma 34 2" xfId="1086" xr:uid="{393C8E51-EFEB-451B-8551-AFE16E8E3CF4}"/>
    <cellStyle name="Comma 35" xfId="244" xr:uid="{60453B88-15ED-4941-A795-AC708A93977F}"/>
    <cellStyle name="Comma 35 2" xfId="1087" xr:uid="{9453DA11-B740-4086-84ED-8C4CE6DE9E4C}"/>
    <cellStyle name="Comma 36" xfId="245" xr:uid="{FFAFA76E-52E4-48E3-A3EF-0C827F0BBDD3}"/>
    <cellStyle name="Comma 36 2" xfId="1088" xr:uid="{D9C0A417-9EB5-44FE-9F04-BA196D2509E5}"/>
    <cellStyle name="Comma 37" xfId="246" xr:uid="{11AB7915-2E6B-4520-8DE2-01F7EA075DD0}"/>
    <cellStyle name="Comma 37 2" xfId="1089" xr:uid="{3DE47B62-7418-4272-B0AC-043C43C0BE1A}"/>
    <cellStyle name="Comma 38" xfId="247" xr:uid="{C67D8B0C-5752-40DB-9A58-A5AD46E3C7BC}"/>
    <cellStyle name="Comma 38 2" xfId="1090" xr:uid="{DD511962-CDA3-473F-8EF7-527D1B0082E7}"/>
    <cellStyle name="Comma 39" xfId="248" xr:uid="{204CC065-0F64-4AF0-A8E8-752DD21F5A90}"/>
    <cellStyle name="Comma 39 2" xfId="1091" xr:uid="{353AF537-BFB4-4CC8-91EB-113B591616B4}"/>
    <cellStyle name="Comma 4" xfId="249" xr:uid="{8B4E340C-4058-46F6-87E6-66F1E38F5264}"/>
    <cellStyle name="Comma 4 2" xfId="250" xr:uid="{FE10A162-8EA9-4BA0-9D1F-0F8C418AFF78}"/>
    <cellStyle name="Comma 4 2 2" xfId="251" xr:uid="{E9F518EE-028C-4608-884B-D81E0DD64395}"/>
    <cellStyle name="Comma 4 2 2 2" xfId="1092" xr:uid="{5CE633C9-178A-4C57-9424-BDA5331DB882}"/>
    <cellStyle name="Comma 4 2 3" xfId="1093" xr:uid="{767492C1-836D-4E71-A74A-1D7146B4B063}"/>
    <cellStyle name="Comma 4 3" xfId="252" xr:uid="{847C0CE0-B27E-49BE-9D3D-27758671D9FB}"/>
    <cellStyle name="Comma 4 3 2" xfId="1094" xr:uid="{6795A893-EA8D-458F-AACA-718523E2AF3C}"/>
    <cellStyle name="Comma 4 4" xfId="253" xr:uid="{D00C4358-1740-4BD3-8432-FF42A58EAFC7}"/>
    <cellStyle name="Comma 4 4 2" xfId="1095" xr:uid="{8BA23554-805A-4FB5-9ECC-416CD9EFD7AD}"/>
    <cellStyle name="Comma 4 5" xfId="989" xr:uid="{7DF68EF6-93E8-4408-8B26-D1756BE30FEB}"/>
    <cellStyle name="Comma 4 5 2" xfId="1096" xr:uid="{C60D17D0-BD5A-42E9-ACD1-7004213815E5}"/>
    <cellStyle name="Comma 4 6" xfId="1009" xr:uid="{50967A2D-4525-4E0A-8C90-1A919A4C44CC}"/>
    <cellStyle name="Comma 4 6 2" xfId="1097" xr:uid="{B5F82E38-A08D-4DE3-83B7-67BDD62AF93B}"/>
    <cellStyle name="Comma 4 7" xfId="1098" xr:uid="{072ECECF-36C5-4395-B798-EB38F01942A6}"/>
    <cellStyle name="Comma 4 8" xfId="1099" xr:uid="{2B44514F-BDB6-4618-BD43-D0C0F2FADBA2}"/>
    <cellStyle name="Comma 40" xfId="254" xr:uid="{7CECA4DA-C8B3-40B6-A95B-8F98A78F0556}"/>
    <cellStyle name="Comma 40 2" xfId="1100" xr:uid="{364FEC32-D5FA-46FB-AE7B-ECD1BC8E2CEA}"/>
    <cellStyle name="Comma 41" xfId="255" xr:uid="{96C17691-C2E3-4750-A6EB-2EBC1A61FB2E}"/>
    <cellStyle name="Comma 41 2" xfId="1101" xr:uid="{A1B5A16E-CDFD-462F-AFBD-CA8CDB59EFE7}"/>
    <cellStyle name="Comma 42" xfId="256" xr:uid="{DB4C5197-D9D3-4D69-AA32-08A6161049CE}"/>
    <cellStyle name="Comma 42 2" xfId="1102" xr:uid="{AD1818D4-06ED-4B3E-81CC-8D8189503A55}"/>
    <cellStyle name="Comma 43" xfId="257" xr:uid="{E0A84908-2064-408A-B7E0-E25DC88DABC7}"/>
    <cellStyle name="Comma 43 2" xfId="1103" xr:uid="{BC0B5E20-D431-4B4F-8D02-9D418B75A8ED}"/>
    <cellStyle name="Comma 44" xfId="258" xr:uid="{4E3E5DF7-811E-42BF-A98B-58539696B5E8}"/>
    <cellStyle name="Comma 44 2" xfId="1104" xr:uid="{31F2B771-9C25-4AAB-BFEB-C0622D33A7BC}"/>
    <cellStyle name="Comma 45" xfId="259" xr:uid="{41DA0802-AC36-4275-8AB7-C2622A052145}"/>
    <cellStyle name="Comma 45 2" xfId="1105" xr:uid="{13A56B6C-F5ED-4B11-A7ED-DCAB2EA3D907}"/>
    <cellStyle name="Comma 46" xfId="260" xr:uid="{4BB83F17-4A7C-4D49-9838-547887CA8729}"/>
    <cellStyle name="Comma 46 2" xfId="1106" xr:uid="{DFC37D39-5F77-4098-A634-7352A7373928}"/>
    <cellStyle name="Comma 47" xfId="49" xr:uid="{7E53B719-127D-4853-843D-9FE74035E36F}"/>
    <cellStyle name="Comma 47 2" xfId="261" xr:uid="{E4ACA497-ABEA-4148-A3D7-C9DF0A0A3C10}"/>
    <cellStyle name="Comma 47 2 2" xfId="1107" xr:uid="{964761F3-BFF3-4412-A748-E830409FFB2E}"/>
    <cellStyle name="Comma 47 3" xfId="1108" xr:uid="{C4502BCB-C478-4E23-A1AF-5B57F751AB04}"/>
    <cellStyle name="Comma 48" xfId="48" xr:uid="{C0920349-A701-4033-A28C-E3A0B1DE5D9C}"/>
    <cellStyle name="Comma 48 2" xfId="262" xr:uid="{0E2A3A8E-EC30-43F4-B56B-E3186ABB28B8}"/>
    <cellStyle name="Comma 48 2 2" xfId="1109" xr:uid="{9B0706F3-E7F3-40CA-B9D4-94729C5064AA}"/>
    <cellStyle name="Comma 48 3" xfId="1110" xr:uid="{853382AB-EDB1-4213-993D-8F1F8F794497}"/>
    <cellStyle name="Comma 49" xfId="263" xr:uid="{B13DF0B1-8952-4BAB-99E9-990CF89D4016}"/>
    <cellStyle name="Comma 49 2" xfId="1111" xr:uid="{0B67CF47-0138-4180-9917-DD9E38207E8E}"/>
    <cellStyle name="Comma 5" xfId="264" xr:uid="{CB5CAC45-D788-4C2C-8CEA-2F624AC51B3C}"/>
    <cellStyle name="Comma 5 2" xfId="265" xr:uid="{05EFDD40-99C9-4BCA-A0BF-9A8A1B8D4F80}"/>
    <cellStyle name="Comma 5 2 2" xfId="1112" xr:uid="{3DD6F2EB-2E9E-4C94-B4DD-9108FF482B1D}"/>
    <cellStyle name="Comma 5 3" xfId="266" xr:uid="{9B48BA8C-05C1-43D0-B2D4-7029205E50C7}"/>
    <cellStyle name="Comma 5 3 2" xfId="1113" xr:uid="{E955CA11-DE46-4829-B581-16F18540623B}"/>
    <cellStyle name="Comma 5 4" xfId="1114" xr:uid="{37C4EC03-8803-48F7-9F3B-D492A3A9DB19}"/>
    <cellStyle name="Comma 50" xfId="267" xr:uid="{91664B2E-32BB-4BF8-9FA9-811F3E6B8B62}"/>
    <cellStyle name="Comma 50 2" xfId="1115" xr:uid="{D219E46B-8D61-4FC1-B0E9-BCAF0285B4FA}"/>
    <cellStyle name="Comma 51" xfId="268" xr:uid="{C44407A4-A220-488D-A45F-CC0F1A313DC1}"/>
    <cellStyle name="Comma 51 2" xfId="1116" xr:uid="{82ABE66B-AA3A-42C4-B2F6-775B322ECB94}"/>
    <cellStyle name="Comma 52" xfId="269" xr:uid="{106B0C7C-C1D0-4517-B482-26415FD7BF61}"/>
    <cellStyle name="Comma 52 2" xfId="1117" xr:uid="{BCC8EFA1-1EE2-4CF5-9987-79A26EBC3B45}"/>
    <cellStyle name="Comma 53" xfId="270" xr:uid="{DA615814-0055-4B7A-8EEB-854DB019AC66}"/>
    <cellStyle name="Comma 53 2" xfId="1118" xr:uid="{889237B7-1F80-4F04-A652-D55786D1C7ED}"/>
    <cellStyle name="Comma 54" xfId="271" xr:uid="{BC7F1C7B-5AEC-42DE-93E2-F7A4B905058E}"/>
    <cellStyle name="Comma 54 2" xfId="1119" xr:uid="{DC0532CF-899C-4EFD-9088-FECA5115D25D}"/>
    <cellStyle name="Comma 55" xfId="272" xr:uid="{69708983-7369-49C6-A31B-D493890C3196}"/>
    <cellStyle name="Comma 55 2" xfId="1120" xr:uid="{029D10D7-0E10-4F03-84ED-79510E7B7938}"/>
    <cellStyle name="Comma 56" xfId="273" xr:uid="{CCE1A5B8-971B-44F2-A22A-70FCDC962B4D}"/>
    <cellStyle name="Comma 56 2" xfId="1121" xr:uid="{61DAC67E-F081-4372-8708-CA055E2CBFD9}"/>
    <cellStyle name="Comma 57" xfId="274" xr:uid="{86378442-3482-4790-ACB3-0608630F5A3A}"/>
    <cellStyle name="Comma 57 2" xfId="1122" xr:uid="{02ED2505-3117-45F4-8B8A-0A088D452981}"/>
    <cellStyle name="Comma 58" xfId="275" xr:uid="{969278DE-81DB-4893-A0D3-5AC114AE502E}"/>
    <cellStyle name="Comma 58 2" xfId="1123" xr:uid="{4E92E9AE-9BFF-4F5C-9756-2C05C4A0CE8A}"/>
    <cellStyle name="Comma 59" xfId="276" xr:uid="{1BE3C5FB-E7A1-431F-9B56-51524F040B0A}"/>
    <cellStyle name="Comma 59 2" xfId="1124" xr:uid="{92210109-7DB3-4F41-B6F0-8A2C0E7EB348}"/>
    <cellStyle name="Comma 6" xfId="277" xr:uid="{EB8B8DDA-0531-4384-9BD9-4A84420929C7}"/>
    <cellStyle name="Comma 6 2" xfId="278" xr:uid="{0D977710-D985-4544-85D3-7802FC665B2C}"/>
    <cellStyle name="Comma 6 2 2" xfId="279" xr:uid="{A50B2D1B-07B5-4D31-B5AC-53028445B7D5}"/>
    <cellStyle name="Comma 6 2 2 2" xfId="280" xr:uid="{8496AAAC-FAF2-4885-8337-3C8D6CB3958D}"/>
    <cellStyle name="Comma 6 2 2 2 2" xfId="1125" xr:uid="{2A51FAF9-14C5-470A-97B5-25DCECC97949}"/>
    <cellStyle name="Comma 6 2 2 3" xfId="1126" xr:uid="{5403C6ED-254C-418B-8537-E1977D6B5463}"/>
    <cellStyle name="Comma 6 2 3" xfId="281" xr:uid="{5764F16F-955D-4012-BFF4-B9A087200B78}"/>
    <cellStyle name="Comma 6 2 3 2" xfId="1127" xr:uid="{5EC31AC3-2AAD-46E8-BFFC-0C570214251D}"/>
    <cellStyle name="Comma 6 2 4" xfId="1128" xr:uid="{D1F57810-279F-4400-B333-FFD4B5ADD5AF}"/>
    <cellStyle name="Comma 6 3" xfId="282" xr:uid="{F54933E0-2805-4ABD-8A67-345DCC225C02}"/>
    <cellStyle name="Comma 6 3 2" xfId="1129" xr:uid="{311E919A-99EB-4E21-AA5E-5BF189DF692C}"/>
    <cellStyle name="Comma 6 4" xfId="283" xr:uid="{1C709D21-1A22-4E71-A08D-4A0D9C5E73AA}"/>
    <cellStyle name="Comma 6 4 2" xfId="1130" xr:uid="{E639C797-9E0F-4907-A002-897B8E16E5EE}"/>
    <cellStyle name="Comma 6 5" xfId="1131" xr:uid="{720B2850-7A77-4497-84C3-28C44EF6D6B5}"/>
    <cellStyle name="Comma 60" xfId="284" xr:uid="{37D4E3E9-66C8-44B6-A3EC-0AD7AB2D6F6F}"/>
    <cellStyle name="Comma 60 2" xfId="1132" xr:uid="{694E8692-FC07-4ED9-8DDC-03F065163B35}"/>
    <cellStyle name="Comma 61" xfId="285" xr:uid="{8CE01AF7-9D6C-434B-AC10-8A0771F4B99B}"/>
    <cellStyle name="Comma 61 2" xfId="1133" xr:uid="{8266130A-8276-44D1-9C1F-190F0B3EC3C0}"/>
    <cellStyle name="Comma 62" xfId="286" xr:uid="{AA091C48-67FE-483D-A396-DEB8EB4BAA6A}"/>
    <cellStyle name="Comma 62 2" xfId="1134" xr:uid="{6EF08A74-A7EC-4CA0-8599-0291D614E0FE}"/>
    <cellStyle name="Comma 63" xfId="287" xr:uid="{DF750775-6D6A-4CFF-93C5-6D7E2041991C}"/>
    <cellStyle name="Comma 63 2" xfId="1135" xr:uid="{84075652-1BF8-48FC-A475-DDCF1657C10D}"/>
    <cellStyle name="Comma 64" xfId="288" xr:uid="{E63310C4-E8A4-4919-A526-5085D756F1C1}"/>
    <cellStyle name="Comma 64 2" xfId="1136" xr:uid="{EAF4E307-1199-4D19-9D70-1EC61A00E42F}"/>
    <cellStyle name="Comma 65" xfId="289" xr:uid="{49559F7D-36B4-414D-A659-6B56C22424A5}"/>
    <cellStyle name="Comma 65 2" xfId="1137" xr:uid="{1F6A65EF-CE3C-4EB4-88EE-8B51B5B6061E}"/>
    <cellStyle name="Comma 66" xfId="290" xr:uid="{007A7B25-53FC-407E-BC76-A828E6134FD6}"/>
    <cellStyle name="Comma 66 2" xfId="1138" xr:uid="{0FF9D4C5-B913-42DE-A59B-EDF7E42BA136}"/>
    <cellStyle name="Comma 67" xfId="291" xr:uid="{712C90B2-B01F-4D03-AC8A-9B0E7F6FB274}"/>
    <cellStyle name="Comma 67 2" xfId="1139" xr:uid="{DB1D039B-5213-4024-9990-4C6443FCAFBF}"/>
    <cellStyle name="Comma 68" xfId="292" xr:uid="{97332C1B-FD94-41C4-97AE-1E587936AC5A}"/>
    <cellStyle name="Comma 68 2" xfId="1140" xr:uid="{34A91E25-595C-4FAE-AADF-412346B120DE}"/>
    <cellStyle name="Comma 69" xfId="293" xr:uid="{1893A996-8DAB-4675-82A4-75BFAB3E7940}"/>
    <cellStyle name="Comma 69 2" xfId="1141" xr:uid="{6A47B400-A04B-468C-B0E6-0304ECDE184C}"/>
    <cellStyle name="Comma 7" xfId="294" xr:uid="{6E328015-48E8-485A-B748-102586C3499B}"/>
    <cellStyle name="Comma 7 2" xfId="295" xr:uid="{831DE660-C37B-49D6-95C4-04D8681A1D77}"/>
    <cellStyle name="Comma 7 2 2" xfId="296" xr:uid="{CB03BBC9-9C0B-4CCD-AA59-519D208FE1FE}"/>
    <cellStyle name="Comma 7 2 2 2" xfId="1142" xr:uid="{F9931773-750E-467A-A7F5-FAA87A2A7833}"/>
    <cellStyle name="Comma 7 2 3" xfId="1143" xr:uid="{D13F2315-B525-45C6-95DB-AAFAEFF3EE29}"/>
    <cellStyle name="Comma 7 3" xfId="297" xr:uid="{0882F8F1-4CDD-4532-BE34-7BDF2AF8D2FD}"/>
    <cellStyle name="Comma 7 3 2" xfId="1144" xr:uid="{D1E47EF4-C584-481D-A347-66EBB22DC91D}"/>
    <cellStyle name="Comma 7 4" xfId="1145" xr:uid="{12828108-3089-4C49-B6A1-34B7B2A46853}"/>
    <cellStyle name="Comma 70" xfId="298" xr:uid="{E6B43623-3E52-4D71-9318-2663F9E506E3}"/>
    <cellStyle name="Comma 70 2" xfId="1146" xr:uid="{9ED1C065-99E7-420C-A3A0-C2810CC1BDE8}"/>
    <cellStyle name="Comma 71" xfId="299" xr:uid="{90DE8ECB-53E7-42CC-84EF-E207EC21F9A7}"/>
    <cellStyle name="Comma 71 2" xfId="1147" xr:uid="{1C74B27F-2032-43F6-93BB-CFB0137D37D4}"/>
    <cellStyle name="Comma 72" xfId="300" xr:uid="{18510281-FE97-42CF-941C-D8EC56FDD901}"/>
    <cellStyle name="Comma 72 2" xfId="1148" xr:uid="{EA73E2CA-60F7-4CC3-B252-B823D4C72F51}"/>
    <cellStyle name="Comma 73" xfId="301" xr:uid="{099BB80C-D1A9-4F51-B9AB-C5FB86C5E6AA}"/>
    <cellStyle name="Comma 73 2" xfId="1149" xr:uid="{C84528D6-1067-4A0A-9787-33FFF2FA8119}"/>
    <cellStyle name="Comma 74" xfId="302" xr:uid="{F0433112-6DD2-45A8-8D18-B88D95D78255}"/>
    <cellStyle name="Comma 74 2" xfId="1150" xr:uid="{5FB9D417-8B2D-4513-B24F-A00D0FCF8628}"/>
    <cellStyle name="Comma 75" xfId="303" xr:uid="{98816658-45E3-42EA-93DE-FA26800EF92D}"/>
    <cellStyle name="Comma 75 2" xfId="1151" xr:uid="{12E82220-7479-4A0A-AA6D-9A5D5185C250}"/>
    <cellStyle name="Comma 76" xfId="304" xr:uid="{006C5C00-CE6A-4F26-80A6-0777AD39DBE4}"/>
    <cellStyle name="Comma 76 2" xfId="1152" xr:uid="{A55E486A-1521-4AF3-9A1A-966D8BFA2FCA}"/>
    <cellStyle name="Comma 77" xfId="305" xr:uid="{E24C636A-8E0D-4249-81F6-92ED79F49071}"/>
    <cellStyle name="Comma 77 2" xfId="1153" xr:uid="{31D69086-34C1-4186-AAE0-68E9A12DB0C1}"/>
    <cellStyle name="Comma 78" xfId="306" xr:uid="{E54155FE-4749-4787-AA98-96E67D603A58}"/>
    <cellStyle name="Comma 78 2" xfId="1154" xr:uid="{A060BCFC-8F5D-4392-959C-2F9DEF2ECA72}"/>
    <cellStyle name="Comma 79" xfId="176" xr:uid="{86A14A93-F405-4E4D-A5B7-601B4AD48575}"/>
    <cellStyle name="Comma 79 2" xfId="1155" xr:uid="{AF999B49-7D95-4079-907E-0FCAF3CD3272}"/>
    <cellStyle name="Comma 8" xfId="307" xr:uid="{E0A05A4F-9249-434D-91E3-90CA67BA577B}"/>
    <cellStyle name="Comma 8 2" xfId="308" xr:uid="{E867E0E1-A166-410B-B3E0-897D54721ADF}"/>
    <cellStyle name="Comma 8 2 2" xfId="1156" xr:uid="{F38450CD-4A43-4B1D-88E3-72D477778A79}"/>
    <cellStyle name="Comma 8 3" xfId="1157" xr:uid="{EBA18C47-65E7-45D4-BF75-70FAC14741FB}"/>
    <cellStyle name="Comma 80" xfId="977" xr:uid="{90954CA0-BFB4-4DB7-85F4-DBFB001EC79A}"/>
    <cellStyle name="Comma 80 2" xfId="1158" xr:uid="{54E79F6A-4A1A-490C-873D-016CCAAC9497}"/>
    <cellStyle name="Comma 81" xfId="981" xr:uid="{54DBD83B-97B9-4D26-A422-C0A6EF3842D5}"/>
    <cellStyle name="Comma 81 2" xfId="1159" xr:uid="{F63FCD37-6D59-4508-AA86-D8FD84CEB27D}"/>
    <cellStyle name="Comma 82" xfId="982" xr:uid="{FB4FE917-610D-4C68-9237-548136BF8F3A}"/>
    <cellStyle name="Comma 82 2" xfId="1160" xr:uid="{9A638213-786B-4794-98F0-DA90403946ED}"/>
    <cellStyle name="Comma 83" xfId="990" xr:uid="{18302D73-31CC-4E0F-B1B0-C92455996D4D}"/>
    <cellStyle name="Comma 83 2" xfId="1161" xr:uid="{7630925D-BCE7-464E-8510-07F8DD799F7D}"/>
    <cellStyle name="Comma 84" xfId="995" xr:uid="{751DC677-0BCD-4004-8EBB-401AE6C04675}"/>
    <cellStyle name="Comma 84 2" xfId="1162" xr:uid="{BDCBB182-4E14-483C-9A95-FCBA4B5EDB3B}"/>
    <cellStyle name="Comma 85" xfId="1008" xr:uid="{4E7C3634-9B34-40A1-9F14-89E773F8BAA0}"/>
    <cellStyle name="Comma 85 2" xfId="1163" xr:uid="{A4D5CCA1-2F7A-4578-9B46-4DD56BA9D08A}"/>
    <cellStyle name="Comma 86" xfId="1007" xr:uid="{455E85EA-328E-4F2F-AE07-A38372D7591E}"/>
    <cellStyle name="Comma 86 2" xfId="1164" xr:uid="{35EB2816-6B91-4482-9B11-A739BDC2A51F}"/>
    <cellStyle name="Comma 87" xfId="1014" xr:uid="{0345BE94-1EE5-4EE5-8DC8-A023DDC56C87}"/>
    <cellStyle name="Comma 87 2" xfId="1165" xr:uid="{6F9D22A4-B248-4283-AFF0-047199D97ED3}"/>
    <cellStyle name="Comma 88" xfId="1010" xr:uid="{45B8F2E6-C87D-47E9-BFEF-540D3EB6163B}"/>
    <cellStyle name="Comma 88 2" xfId="1166" xr:uid="{0F2955AC-FD51-482C-9A47-1631717B9F5B}"/>
    <cellStyle name="Comma 89" xfId="309" xr:uid="{E7741211-3CB9-41AA-BB32-594A88B35B24}"/>
    <cellStyle name="Comma 89 2" xfId="1167" xr:uid="{9114EA8A-97CE-4B0A-9938-B35A73C5B670}"/>
    <cellStyle name="Comma 9" xfId="310" xr:uid="{EAF2CBD9-8953-4077-8065-588A01D79E3A}"/>
    <cellStyle name="Comma 9 2" xfId="311" xr:uid="{2484F46F-4284-42FD-B198-C9B16E1FA017}"/>
    <cellStyle name="Comma 9 2 2" xfId="1168" xr:uid="{050797C5-5B81-43F3-90EA-468C98AFEC53}"/>
    <cellStyle name="Comma 9 3" xfId="1169" xr:uid="{A7D60ACF-EB99-46BC-987C-A2F905A37DC3}"/>
    <cellStyle name="Comma 90" xfId="1011" xr:uid="{08ABF582-225F-4B9B-AB3A-A560D02BF18D}"/>
    <cellStyle name="Comma 90 2" xfId="1170" xr:uid="{05D1EE24-D5A6-42A0-A404-43CC0F69ECE9}"/>
    <cellStyle name="Comma 91" xfId="1012" xr:uid="{4EC481D4-3D79-41AA-80A1-7F6C4326827C}"/>
    <cellStyle name="Comma 91 2" xfId="1171" xr:uid="{ED4F86FB-B7B6-4F3F-A6E7-9A43C21A344C}"/>
    <cellStyle name="Comma 92" xfId="1172" xr:uid="{9207C607-8AFA-4AF5-B8B7-5230CF7DA3C1}"/>
    <cellStyle name="Comma 93" xfId="45" xr:uid="{85700DBB-A953-4AAD-8845-693F2C549483}"/>
    <cellStyle name="Comma 94" xfId="58" xr:uid="{8FF36D7F-FFAD-4A30-BB52-A27EA9994884}"/>
    <cellStyle name="Comma 95" xfId="312" xr:uid="{684676F6-15F5-4917-9003-228646274F74}"/>
    <cellStyle name="Comma 95 2" xfId="1173" xr:uid="{DF7CDBD2-8659-49B6-BAAE-ACD9503E900E}"/>
    <cellStyle name="Comma 96" xfId="1722" xr:uid="{B991FCC3-BF7C-4D1B-B243-E8727FEA7A6E}"/>
    <cellStyle name="Comma 97" xfId="1517" xr:uid="{96AE1D22-A653-49BE-82F3-1BD0A715AAC4}"/>
    <cellStyle name="Comma 98" xfId="1807" xr:uid="{FD91808C-942E-44E4-A595-678903937EB5}"/>
    <cellStyle name="Comma 99" xfId="1827" xr:uid="{F0D6EF18-64BB-42D2-86B6-A117CA5F2667}"/>
    <cellStyle name="comma zerodec" xfId="313" xr:uid="{58421FAB-1486-4F63-ACD4-6E741DA816A0}"/>
    <cellStyle name="comma zerodec 2" xfId="314" xr:uid="{F110F575-3156-4A16-A430-AD2A3A8A7AE8}"/>
    <cellStyle name="Comma(1)" xfId="315" xr:uid="{7DA399C7-AC57-4BCE-8DE7-CE5E25EC6E60}"/>
    <cellStyle name="Comma(1) 2" xfId="316" xr:uid="{CFB88F3B-6D4F-411D-B860-693E4962EB9C}"/>
    <cellStyle name="Comma]Capex" xfId="317" xr:uid="{AFF2428A-12F9-4315-92A0-C6736654E62E}"/>
    <cellStyle name="Comma]Capex 2" xfId="318" xr:uid="{FCDAA4CF-B82C-46DD-9598-79B831C0D8C7}"/>
    <cellStyle name="Currency 2" xfId="319" xr:uid="{F27FD389-E67B-4522-B71C-A0AB6F4FE9B2}"/>
    <cellStyle name="Currency 2 2" xfId="320" xr:uid="{DF4469D0-8AC3-48D4-B867-4CC5964F77A8}"/>
    <cellStyle name="Currency 2 2 2" xfId="1174" xr:uid="{4549FCA9-294A-4265-A29D-B19DA57E1E15}"/>
    <cellStyle name="Currency 2 3" xfId="1175" xr:uid="{A2D5469C-9A87-41E2-AA7F-BD3FA79DD3F9}"/>
    <cellStyle name="Currency 3" xfId="321" xr:uid="{CB70E811-8494-4FB9-9B87-82FCF8FB55C4}"/>
    <cellStyle name="Currency 3 2" xfId="1176" xr:uid="{00705A70-B605-4C3D-812A-041FE2E87F55}"/>
    <cellStyle name="Currency 4" xfId="322" xr:uid="{A3989ED6-5049-4BFC-B812-E999849D4744}"/>
    <cellStyle name="Currency 4 2" xfId="1177" xr:uid="{8576FD3D-D22E-4997-8971-A5F711AA2FC7}"/>
    <cellStyle name="Currency1" xfId="323" xr:uid="{114BC067-6969-4BA5-87EF-3BE65C404D54}"/>
    <cellStyle name="Currency1 2" xfId="324" xr:uid="{F15127FB-D679-44F3-9371-233FE43BE1A7}"/>
    <cellStyle name="Dollar (zero dec)" xfId="325" xr:uid="{26703B34-1881-4EF8-933D-950407D06E26}"/>
    <cellStyle name="Dollar (zero dec) 2" xfId="326" xr:uid="{2DBD4C2C-D1F4-4318-9B23-8E0481E6CAF1}"/>
    <cellStyle name="entry box" xfId="327" xr:uid="{977CC0DD-9DF4-4266-BBBE-488DFE1D0A3B}"/>
    <cellStyle name="entry box 2" xfId="328" xr:uid="{969768D0-DACC-4627-A563-6C4062FDC278}"/>
    <cellStyle name="entry box 2 2" xfId="1466" xr:uid="{94D28AE1-C9A8-44EC-8E55-2D0719951BAC}"/>
    <cellStyle name="entry box 2 3" xfId="1511" xr:uid="{9602FA09-1845-48B2-B2E0-BE73B15FE284}"/>
    <cellStyle name="entry box 3" xfId="1784" xr:uid="{72B5942D-4A32-44C0-9D31-67B710BDABE1}"/>
    <cellStyle name="entry box 4" xfId="1746" xr:uid="{7E5A81C4-0FAC-4F7B-8FFE-3BA40D6F6555}"/>
    <cellStyle name="Explanatory Text" xfId="24" builtinId="53" customBuiltin="1"/>
    <cellStyle name="Explanatory Text 2" xfId="329" xr:uid="{B0A2446C-E9C9-4C45-8939-AC83CE718250}"/>
    <cellStyle name="fourdecplace" xfId="330" xr:uid="{15A3D9E5-7C51-47BA-8CD5-744234547EF9}"/>
    <cellStyle name="fourdecplace 2" xfId="331" xr:uid="{CAA136A9-7115-4CB9-816D-7846556E6F3C}"/>
    <cellStyle name="GalleryPath" xfId="332" xr:uid="{813884F9-1336-4697-8715-D7E91FA1D33D}"/>
    <cellStyle name="GalleryPath 2" xfId="333" xr:uid="{98FCBCB4-FFE0-400E-929B-3A0E6F9AEAD3}"/>
    <cellStyle name="GalleryPath 3" xfId="334" xr:uid="{BD5CCBF2-309D-4627-889D-966192769A04}"/>
    <cellStyle name="Good" xfId="16" builtinId="26" customBuiltin="1"/>
    <cellStyle name="Good 2" xfId="335" xr:uid="{367A57EF-31CB-483D-ABCB-3A9D902C59BE}"/>
    <cellStyle name="Good 2 2" xfId="336" xr:uid="{8C151590-97BE-4D37-A6C1-2032F6793C44}"/>
    <cellStyle name="Grey" xfId="337" xr:uid="{38F91DAC-C2D9-46F0-AC2C-E97E50069777}"/>
    <cellStyle name="Grey 2" xfId="338" xr:uid="{C09857C5-0C2B-4BBC-ABDD-6731CB0F549D}"/>
    <cellStyle name="Grey 3" xfId="339" xr:uid="{81946C59-ECAB-40B3-BCEF-0E2621C27CF2}"/>
    <cellStyle name="Header1" xfId="340" xr:uid="{9E082533-68ED-4B6B-9263-4B1F74873FED}"/>
    <cellStyle name="Header1 2" xfId="341" xr:uid="{ABAAA4A7-1655-49A7-878A-CFA06109BA1B}"/>
    <cellStyle name="Header2" xfId="342" xr:uid="{C1E15B07-1423-4152-83B1-49357B7D3101}"/>
    <cellStyle name="Header2 2" xfId="343" xr:uid="{0AD9D0D7-E51C-4DA7-BA74-FF92063F79DE}"/>
    <cellStyle name="Header2 2 2" xfId="1806" xr:uid="{A7E77EE2-83F8-41A6-95D8-1D2236079363}"/>
    <cellStyle name="Header2 2 3" xfId="1624" xr:uid="{49EA11E6-4766-4487-A79D-079EAFEE1B03}"/>
    <cellStyle name="Header2 2 4" xfId="1821" xr:uid="{B5EF0E26-F4B9-4D7E-8715-259873E2FD02}"/>
    <cellStyle name="Header2 3" xfId="1580" xr:uid="{6FDB8708-1AB8-4031-9A88-EE7EFA5AD1A4}"/>
    <cellStyle name="Header2 4" xfId="1550" xr:uid="{299F5216-F54C-4F7D-94A8-B819EFE4DD59}"/>
    <cellStyle name="Header2 5" xfId="1597" xr:uid="{ABAED9B3-1E18-41AC-BA4B-DCDD7834F72A}"/>
    <cellStyle name="Heading 1" xfId="12" builtinId="16" customBuiltin="1"/>
    <cellStyle name="Heading 1 2" xfId="344" xr:uid="{5EECF9E5-DE53-49B6-8007-3386ACD77DA2}"/>
    <cellStyle name="Heading 2" xfId="13" builtinId="17" customBuiltin="1"/>
    <cellStyle name="Heading 2 2" xfId="345" xr:uid="{3E54DAC0-4DA2-465B-9048-8254BBF05C9F}"/>
    <cellStyle name="Heading 3" xfId="14" builtinId="18" customBuiltin="1"/>
    <cellStyle name="Heading 3 2" xfId="346" xr:uid="{2C804B3B-8B40-4879-B9DE-93BFE1E5178D}"/>
    <cellStyle name="Heading 4" xfId="15" builtinId="19" customBuiltin="1"/>
    <cellStyle name="Heading 4 2" xfId="347" xr:uid="{28A47026-27F5-494E-B5AB-269DC46A000D}"/>
    <cellStyle name="Hyperlink" xfId="3" builtinId="8"/>
    <cellStyle name="Hyperlink 2" xfId="8" xr:uid="{3B24A4DE-80B8-49FE-8828-BCCED4789812}"/>
    <cellStyle name="Input" xfId="18" builtinId="20" customBuiltin="1"/>
    <cellStyle name="Input [yellow]" xfId="349" xr:uid="{AAA585FE-BBCC-4EBD-AD57-EC840E366B1E}"/>
    <cellStyle name="Input [yellow] 2" xfId="350" xr:uid="{8F4C08E7-A889-46C0-873C-A98B48476884}"/>
    <cellStyle name="Input [yellow] 3" xfId="351" xr:uid="{333666FA-C42B-472F-BCDE-42FF735DEB7B}"/>
    <cellStyle name="Input [yellow] 4" xfId="991" xr:uid="{C702ACBF-A50B-4F53-8CAA-54AF64383ED8}"/>
    <cellStyle name="Input [yellow] 4 2" xfId="1726" xr:uid="{71F4D95F-69D6-4453-A1CB-66489E3C3168}"/>
    <cellStyle name="Input [yellow] 4 3" xfId="1504" xr:uid="{A6634F99-16A7-4277-A72A-225825251C16}"/>
    <cellStyle name="Input [yellow] 4 4" xfId="1838" xr:uid="{17862AE9-385A-4EC9-9E61-6EE5BA4EC25D}"/>
    <cellStyle name="Input [yellow] 5" xfId="1810" xr:uid="{DF45D7F2-9035-4C21-98B2-D9C944BEA241}"/>
    <cellStyle name="Input 2" xfId="352" xr:uid="{27D2A941-2FB1-43F2-AAE2-F2ACAAD8FB30}"/>
    <cellStyle name="Input 2 2" xfId="353" xr:uid="{D4DA9158-698B-445B-9B2B-3996F1B75BAA}"/>
    <cellStyle name="Input 2 2 2" xfId="1528" xr:uid="{C6CE6C6E-E8B9-44CF-BF98-E422908C64AB}"/>
    <cellStyle name="Input 2 2 3" xfId="1574" xr:uid="{BD9DB3AD-98E8-4A6A-A96D-9D1D9060775A}"/>
    <cellStyle name="Input 2 2 4" xfId="1735" xr:uid="{1A5F46FC-41B2-4DF8-94BF-318CC333BFC6}"/>
    <cellStyle name="Input 2 2 5" xfId="1747" xr:uid="{E7D0DEA5-D0F3-4D18-86DC-0CC7095EA6D6}"/>
    <cellStyle name="Input 2 3" xfId="354" xr:uid="{E8F8913E-271E-4A82-B827-BA6319BE6D1C}"/>
    <cellStyle name="Input 2 3 2" xfId="1529" xr:uid="{EC1A1786-4A02-4D05-B661-5AB7F99A5CA6}"/>
    <cellStyle name="Input 2 3 3" xfId="1803" xr:uid="{DB37B59C-A431-43D4-9A1D-FCA1FBCFE154}"/>
    <cellStyle name="Input 2 3 4" xfId="1621" xr:uid="{C0D679B3-D58F-4EBA-9569-22E2781BBE58}"/>
    <cellStyle name="Input 2 3 5" xfId="1820" xr:uid="{E546842F-4E72-4148-9960-20DF73442421}"/>
    <cellStyle name="LEVERS69" xfId="355" xr:uid="{4F18C8C4-CEA0-4952-9E2B-8EB6AD109385}"/>
    <cellStyle name="LEVERS69 2" xfId="356" xr:uid="{2A6FF112-220A-4FFD-9471-C4EDA16DF559}"/>
    <cellStyle name="Linked Cell" xfId="21" builtinId="24" customBuiltin="1"/>
    <cellStyle name="Linked Cell 2" xfId="357" xr:uid="{28399187-E024-4F84-81A7-62D8E7105E01}"/>
    <cellStyle name="Neutral 2" xfId="359" xr:uid="{8BAF73D7-A508-4698-B623-4846E102CDFB}"/>
    <cellStyle name="Neutral 2 2" xfId="360" xr:uid="{E1820364-8384-4517-905E-0449AE5FA700}"/>
    <cellStyle name="Neutral 3" xfId="358" xr:uid="{47E83910-DEC0-4536-9603-2A1E96673825}"/>
    <cellStyle name="no dec" xfId="361" xr:uid="{717279FF-A8F7-4C74-A63E-7BA7B476B6BF}"/>
    <cellStyle name="Normal" xfId="0" builtinId="0"/>
    <cellStyle name="Normal - Style1" xfId="362" xr:uid="{78BAD6E6-254B-487D-B01C-B5524D4115A2}"/>
    <cellStyle name="Normal - Style1 2" xfId="363" xr:uid="{F908183C-3622-4C89-88E5-460DFB53EB88}"/>
    <cellStyle name="Normal - Style1 3" xfId="364" xr:uid="{6D2A5D2A-03F7-4341-8E6B-520FA4E2AD1E}"/>
    <cellStyle name="Normal 10" xfId="365" xr:uid="{AEBF2015-B5B0-4C4E-94A6-8F1B02B6CEAD}"/>
    <cellStyle name="Normal 10 2" xfId="366" xr:uid="{13B9A8C2-412F-4F13-AAA9-4C7CA3B75AC3}"/>
    <cellStyle name="Normal 10 2 2" xfId="1178" xr:uid="{DFC17495-9BEC-4C93-A171-8FA160638D21}"/>
    <cellStyle name="Normal 10 3" xfId="367" xr:uid="{74FC57C0-03D6-4540-AEF1-5571E6A54A7E}"/>
    <cellStyle name="Normal 10 3 2" xfId="1179" xr:uid="{CBF3D4EC-C314-4AE9-9D2F-A0B9A668E498}"/>
    <cellStyle name="Normal 100" xfId="368" xr:uid="{4486C83F-DA0E-4197-8323-0CEBC8DD2902}"/>
    <cellStyle name="Normal 100 2" xfId="1180" xr:uid="{A32BC599-8607-4C79-BD09-0F58109BE8A4}"/>
    <cellStyle name="Normal 101" xfId="369" xr:uid="{0299161D-6677-4FE6-AA28-5658A513EE7A}"/>
    <cellStyle name="Normal 101 2" xfId="1181" xr:uid="{EC7F4F79-3E2D-4688-B3F8-A199C991FC03}"/>
    <cellStyle name="Normal 102" xfId="370" xr:uid="{87413FFD-D3B7-486A-B427-ECA4B298773E}"/>
    <cellStyle name="Normal 102 2" xfId="1182" xr:uid="{4B156EB0-8EC0-48C6-A4FB-6DD26947AA1D}"/>
    <cellStyle name="Normal 103" xfId="371" xr:uid="{696D94B0-F776-456B-99DA-70E9010C8022}"/>
    <cellStyle name="Normal 103 2" xfId="1183" xr:uid="{C7790ABF-ACA1-49DC-8458-C84DC29BC928}"/>
    <cellStyle name="Normal 104" xfId="372" xr:uid="{F06052C4-FB33-4D18-82F4-12C93D866ADB}"/>
    <cellStyle name="Normal 104 2" xfId="1184" xr:uid="{4ABAFA67-0098-40F6-B184-CE92655DB427}"/>
    <cellStyle name="Normal 105" xfId="373" xr:uid="{E5A2181B-C58A-409D-BF3A-66EE417DD190}"/>
    <cellStyle name="Normal 105 2" xfId="1185" xr:uid="{7BE0B223-194A-4A5D-9C84-5A87478D7247}"/>
    <cellStyle name="Normal 106" xfId="374" xr:uid="{4342F328-12FA-4A61-9951-2BF94A0F7F9B}"/>
    <cellStyle name="Normal 106 2" xfId="1186" xr:uid="{E7E2114D-6B36-4EC8-B4E1-879148BFEB0A}"/>
    <cellStyle name="Normal 107" xfId="375" xr:uid="{2043AAFE-3AEF-4C65-B5BE-9672FB2227AD}"/>
    <cellStyle name="Normal 107 2" xfId="1187" xr:uid="{C018359D-F8AE-4A37-9C8D-CB557F54CA22}"/>
    <cellStyle name="Normal 108" xfId="376" xr:uid="{C211D35F-F2F9-475E-B132-C604A42920E4}"/>
    <cellStyle name="Normal 108 2" xfId="1188" xr:uid="{F7C9FD3F-6FEB-4E99-8D56-DEEACDCFC74F}"/>
    <cellStyle name="Normal 109" xfId="377" xr:uid="{7FBDB777-645A-4755-93F2-9F782B46E917}"/>
    <cellStyle name="Normal 109 2" xfId="1189" xr:uid="{2E369BE0-1374-4BDD-9EA5-9E690C22B9C1}"/>
    <cellStyle name="Normal 11" xfId="378" xr:uid="{98A89CAB-804D-43E3-B618-691BA8C35F45}"/>
    <cellStyle name="Normal 11 2" xfId="379" xr:uid="{0FD057F0-C6C9-47C2-8920-D658C27D0E82}"/>
    <cellStyle name="Normal 11 2 2" xfId="1190" xr:uid="{A663A9BC-3BA8-4A47-A702-29E350128D05}"/>
    <cellStyle name="Normal 11 3" xfId="380" xr:uid="{BB0ED146-214A-408C-85BF-786633424395}"/>
    <cellStyle name="Normal 11 3 2" xfId="1191" xr:uid="{A271AFE7-B920-4EEB-98DC-08EAE158293E}"/>
    <cellStyle name="Normal 110" xfId="381" xr:uid="{F5FBFDB1-E80B-4AA3-A2F3-83795476E1E9}"/>
    <cellStyle name="Normal 110 2" xfId="1192" xr:uid="{47B33B20-9709-48A0-95C3-47A3DE7BC767}"/>
    <cellStyle name="Normal 111" xfId="382" xr:uid="{D5092BE6-91DC-49D7-B383-2C97B7AF6076}"/>
    <cellStyle name="Normal 111 2" xfId="1193" xr:uid="{970F548C-19F8-4608-A34E-C44BFC529B50}"/>
    <cellStyle name="Normal 112" xfId="383" xr:uid="{C93B96DC-E138-4EB5-896D-D8BED6100EEB}"/>
    <cellStyle name="Normal 112 2" xfId="1194" xr:uid="{E4658472-E6F4-4ED8-9BD3-916CEC17CE91}"/>
    <cellStyle name="Normal 113" xfId="384" xr:uid="{BA1FAD3A-170E-4B65-B9A6-00C4426B00FB}"/>
    <cellStyle name="Normal 113 2" xfId="1195" xr:uid="{F10C9B97-0A4A-40F5-B3B0-808BF64B32C5}"/>
    <cellStyle name="Normal 114" xfId="385" xr:uid="{D61FDF49-4E28-47CE-98E1-AE78E28E4E7F}"/>
    <cellStyle name="Normal 114 2" xfId="1196" xr:uid="{AB27C544-DC2A-4256-98E1-965573E65A2C}"/>
    <cellStyle name="Normal 115" xfId="386" xr:uid="{29E790AB-A02A-4E61-B037-733B82009BD3}"/>
    <cellStyle name="Normal 115 2" xfId="1197" xr:uid="{66BA5F9D-7B79-4BAB-AC27-D9E9C6FA58FA}"/>
    <cellStyle name="Normal 116" xfId="387" xr:uid="{39B3AA7E-2832-4790-816D-D20CF1C91DDF}"/>
    <cellStyle name="Normal 116 2" xfId="1198" xr:uid="{43AB1BC7-5ED0-46A6-9F2E-DF9A6E31FA2C}"/>
    <cellStyle name="Normal 117" xfId="388" xr:uid="{5C07D2F5-CC45-4381-B6FB-4091AA277935}"/>
    <cellStyle name="Normal 117 2" xfId="1199" xr:uid="{261BE057-450A-4D5D-B16D-A3C0953BE2EE}"/>
    <cellStyle name="Normal 118" xfId="389" xr:uid="{C80DBBD4-F288-4530-A92E-1D621E305CB7}"/>
    <cellStyle name="Normal 118 2" xfId="1200" xr:uid="{35994B4B-F126-4EA7-B2FF-FC1573E39C68}"/>
    <cellStyle name="Normal 119" xfId="390" xr:uid="{25BA0D0F-A3D4-410E-86D9-F74344978004}"/>
    <cellStyle name="Normal 119 2" xfId="1201" xr:uid="{C7FA0A99-E23F-42BB-9BBA-1EDC6715B8C5}"/>
    <cellStyle name="Normal 12" xfId="391" xr:uid="{D344AA68-9C6A-4DF6-AFB1-A026D770AF2D}"/>
    <cellStyle name="Normal 12 2" xfId="392" xr:uid="{D59CA532-AB16-4D64-8478-5466552D7C22}"/>
    <cellStyle name="Normal 120" xfId="393" xr:uid="{E0249456-A2DD-401E-B2AB-6DB0E17D0DD0}"/>
    <cellStyle name="Normal 120 2" xfId="1202" xr:uid="{67322D02-EA7A-48A1-9F6C-243AEC01CFA6}"/>
    <cellStyle name="Normal 121" xfId="394" xr:uid="{AF744626-B5AC-4CA4-9019-B74844633AF0}"/>
    <cellStyle name="Normal 121 2" xfId="1203" xr:uid="{ABB48800-05A3-4E11-98C3-2753A39F8976}"/>
    <cellStyle name="Normal 122" xfId="395" xr:uid="{B69B948A-B62D-45B0-8285-8E4640E0715A}"/>
    <cellStyle name="Normal 122 2" xfId="1204" xr:uid="{06BB0E82-B826-4D2E-95E0-9622F31EAB73}"/>
    <cellStyle name="Normal 123" xfId="396" xr:uid="{00682C87-BB96-4169-9824-401C42533207}"/>
    <cellStyle name="Normal 123 2" xfId="1205" xr:uid="{A1A7F30F-CCEC-4331-AED1-8AB35BC92FAE}"/>
    <cellStyle name="Normal 124" xfId="397" xr:uid="{274BFA73-9B2B-4CA1-BD46-E70D554E29C2}"/>
    <cellStyle name="Normal 124 2" xfId="1206" xr:uid="{E0BC7FE9-B79B-4A82-84E4-44BD0415990D}"/>
    <cellStyle name="Normal 125" xfId="398" xr:uid="{C027F5F0-C41A-4479-95D4-A1B002D2399F}"/>
    <cellStyle name="Normal 125 2" xfId="1207" xr:uid="{22C55D70-A4EE-42E8-98AB-245728993BDA}"/>
    <cellStyle name="Normal 126" xfId="399" xr:uid="{B12E9D01-B5B5-4927-BDFE-8BDB2FD91E1F}"/>
    <cellStyle name="Normal 126 2" xfId="1208" xr:uid="{73652EB8-C9EE-4581-91DD-64D4C2FE2B59}"/>
    <cellStyle name="Normal 127" xfId="400" xr:uid="{BBF7E1A0-7997-4705-8915-ABFF5C19E743}"/>
    <cellStyle name="Normal 127 2" xfId="1209" xr:uid="{AAAE3513-7244-426D-BD15-01984018B402}"/>
    <cellStyle name="Normal 128" xfId="401" xr:uid="{FC8BA799-3AAD-4042-9516-C0C1E3D29A3B}"/>
    <cellStyle name="Normal 128 2" xfId="1210" xr:uid="{07D1DD7D-1EAC-427C-B2A4-4913C7672D2C}"/>
    <cellStyle name="Normal 129" xfId="402" xr:uid="{88174F3E-569B-4D11-9FFF-3C70B5378152}"/>
    <cellStyle name="Normal 129 2" xfId="1211" xr:uid="{2B29DB06-7314-4F4E-960A-C71038133BA1}"/>
    <cellStyle name="Normal 13" xfId="403" xr:uid="{3152BCF6-ECEB-437B-B65F-FB94C0F5E82F}"/>
    <cellStyle name="Normal 13 2" xfId="404" xr:uid="{BF734BFB-8039-41D2-BE41-E35614EB5974}"/>
    <cellStyle name="Normal 13 2 2" xfId="1212" xr:uid="{7E19FC8D-0392-4F0F-B583-EED87561F5B9}"/>
    <cellStyle name="Normal 13 3" xfId="405" xr:uid="{E1B385DE-C358-44CB-B974-3184C8C6C2DA}"/>
    <cellStyle name="Normal 13 3 2" xfId="1213" xr:uid="{A2C4AF8D-D8CF-4DCF-8481-31F82E77C777}"/>
    <cellStyle name="Normal 130" xfId="406" xr:uid="{B2F36A2B-7CEB-4EA1-8B65-F9544FBFE65D}"/>
    <cellStyle name="Normal 130 2" xfId="1214" xr:uid="{F3C689D8-15B8-40BF-BFE8-F4589D0F2698}"/>
    <cellStyle name="Normal 131" xfId="407" xr:uid="{DB875D10-D71E-40E1-B573-BE59D572C397}"/>
    <cellStyle name="Normal 131 2" xfId="1215" xr:uid="{5FA02DAC-E2AE-4631-9376-79DEB6617A5B}"/>
    <cellStyle name="Normal 132" xfId="408" xr:uid="{9C25F6EE-DEFA-4924-8244-118CC0B3788A}"/>
    <cellStyle name="Normal 132 2" xfId="1216" xr:uid="{706A801C-A189-49D0-BFD5-38F02BB26BD1}"/>
    <cellStyle name="Normal 133" xfId="409" xr:uid="{AB53748B-7E97-4147-93B2-D7798A8FCB2F}"/>
    <cellStyle name="Normal 133 2" xfId="1217" xr:uid="{65BFDC38-9AF5-4F05-948E-EEEDA358D397}"/>
    <cellStyle name="Normal 134" xfId="410" xr:uid="{6FC4C47A-3769-4090-B941-BB19212F4700}"/>
    <cellStyle name="Normal 134 2" xfId="1218" xr:uid="{B6173CC5-BF3C-4A72-B175-D5D29C9EAAE3}"/>
    <cellStyle name="Normal 135" xfId="411" xr:uid="{C70EA1FA-241C-4F4A-AFB0-BE46AC06CC9C}"/>
    <cellStyle name="Normal 135 2" xfId="1219" xr:uid="{E09CB412-17B9-467B-ADAA-63B700C64A2C}"/>
    <cellStyle name="Normal 136" xfId="412" xr:uid="{74B46EA9-C67F-4953-B4C0-8BC75F9E1BAA}"/>
    <cellStyle name="Normal 136 2" xfId="1220" xr:uid="{17285AEE-0E0D-47ED-B913-C9692E9F4753}"/>
    <cellStyle name="Normal 137" xfId="413" xr:uid="{CB3730A0-6955-4B8B-BFFE-2FC97A557187}"/>
    <cellStyle name="Normal 137 2" xfId="1221" xr:uid="{D8AF34E0-2835-4B73-A109-B9089D98C336}"/>
    <cellStyle name="Normal 138" xfId="414" xr:uid="{EF10DEC5-C1E6-4CD7-B902-853729C1293F}"/>
    <cellStyle name="Normal 138 2" xfId="1222" xr:uid="{E2D7BACC-0BE8-40DD-BA28-1E52374308F4}"/>
    <cellStyle name="Normal 139" xfId="415" xr:uid="{4652028C-195B-4C56-B50D-61C03E307A61}"/>
    <cellStyle name="Normal 139 2" xfId="1223" xr:uid="{75A8F617-7CD9-4943-BA4A-FE10D3BF2988}"/>
    <cellStyle name="Normal 14" xfId="416" xr:uid="{4686EA99-1F35-4CFB-8580-ACA433DF944C}"/>
    <cellStyle name="Normal 14 2" xfId="417" xr:uid="{870FD13C-ABF8-42EE-B544-0DBC943A5968}"/>
    <cellStyle name="Normal 14 2 2" xfId="1224" xr:uid="{B2F1E74D-23F0-4C24-BB0A-0C0B522455E6}"/>
    <cellStyle name="Normal 14 3" xfId="418" xr:uid="{3B7894B6-66A3-4332-998F-3EB47BF08AF1}"/>
    <cellStyle name="Normal 14 3 2" xfId="1225" xr:uid="{440F050E-C18E-4EE4-A3A6-4CE1EBDF10DD}"/>
    <cellStyle name="Normal 140" xfId="419" xr:uid="{0F89368D-2418-4853-B016-085E42E97386}"/>
    <cellStyle name="Normal 140 2" xfId="1226" xr:uid="{76BFF251-3CE4-46C4-8516-56DED87FFB15}"/>
    <cellStyle name="Normal 141" xfId="420" xr:uid="{67F8A3AB-3C7E-48CA-A3CE-215666042500}"/>
    <cellStyle name="Normal 141 2" xfId="1227" xr:uid="{995DDE40-A2C5-4C2F-84AE-1C7E87FEF07E}"/>
    <cellStyle name="Normal 142" xfId="421" xr:uid="{F53B578D-78E8-4DA2-B812-496E4B2E7F65}"/>
    <cellStyle name="Normal 142 2" xfId="1228" xr:uid="{D9ED5882-30A2-4A10-85A9-1B06523DDAF2}"/>
    <cellStyle name="Normal 143" xfId="422" xr:uid="{85235644-C4E9-4F8C-8905-E457912EF2F4}"/>
    <cellStyle name="Normal 143 2" xfId="1229" xr:uid="{0D025A5B-E1D7-495D-9918-5E3D0E93AD30}"/>
    <cellStyle name="Normal 144" xfId="423" xr:uid="{713D124C-5785-42F7-9A59-F52E35F17F0A}"/>
    <cellStyle name="Normal 144 2" xfId="1230" xr:uid="{D4140E8B-51E1-4F8B-8D0F-4FE872F75450}"/>
    <cellStyle name="Normal 145" xfId="424" xr:uid="{5D82ED88-6D15-418E-BB18-5D61AF46296C}"/>
    <cellStyle name="Normal 145 2" xfId="1231" xr:uid="{22C6C47A-ABC1-43D6-AE9F-51CC9B388666}"/>
    <cellStyle name="Normal 146" xfId="425" xr:uid="{E4E9A0B0-C92B-443A-94D3-B9D80D745875}"/>
    <cellStyle name="Normal 146 2" xfId="1232" xr:uid="{3205A0FA-199F-468E-ABC4-3809764E9354}"/>
    <cellStyle name="Normal 147" xfId="426" xr:uid="{BE1577BC-36A1-4C38-9493-FC8FB66450EE}"/>
    <cellStyle name="Normal 147 2" xfId="1233" xr:uid="{D92CEB16-3330-48D3-B83C-64F92E607188}"/>
    <cellStyle name="Normal 148" xfId="427" xr:uid="{70D93E59-3F83-4EEC-9A87-A07D1335F361}"/>
    <cellStyle name="Normal 148 2" xfId="1234" xr:uid="{FEE18250-CBED-41BE-B4AE-9211A517669B}"/>
    <cellStyle name="Normal 149" xfId="428" xr:uid="{FF602322-AEA6-4177-A581-25795C6163E9}"/>
    <cellStyle name="Normal 149 2" xfId="1235" xr:uid="{F44C5DD7-CC89-4B3E-B64D-0012ABA078F7}"/>
    <cellStyle name="Normal 15" xfId="429" xr:uid="{D8C3CC78-D2FB-467A-91E9-C8EF53E61362}"/>
    <cellStyle name="Normal 15 2" xfId="430" xr:uid="{70D78BE0-A0C0-40DB-92A1-D0A924F641E0}"/>
    <cellStyle name="Normal 15 3" xfId="431" xr:uid="{634B4966-AA93-4F19-B116-35631FDE6F02}"/>
    <cellStyle name="Normal 150" xfId="432" xr:uid="{8F3E6299-D498-42B6-BA25-B93522310F72}"/>
    <cellStyle name="Normal 150 2" xfId="1236" xr:uid="{8D59D563-F6FC-4ACF-AEA1-58220B6D2DA6}"/>
    <cellStyle name="Normal 151" xfId="433" xr:uid="{580AF91D-F5B9-4FC1-996C-DFC64C2139BD}"/>
    <cellStyle name="Normal 151 2" xfId="1237" xr:uid="{9D0CB158-6EF4-4C3C-9125-D6472ABCDF47}"/>
    <cellStyle name="Normal 152" xfId="434" xr:uid="{B5408441-E660-40B5-B133-F6588E4A8E3A}"/>
    <cellStyle name="Normal 152 2" xfId="1238" xr:uid="{1A2FD336-8A36-434A-9909-15EA9A781779}"/>
    <cellStyle name="Normal 153" xfId="435" xr:uid="{AA71AA41-EF54-4449-B372-EE30110D5C0B}"/>
    <cellStyle name="Normal 153 2" xfId="1239" xr:uid="{DC551EE9-259A-4F77-8F80-7A52235E173E}"/>
    <cellStyle name="Normal 154" xfId="436" xr:uid="{0A02DCDF-EC3F-413F-BA37-3BA4AF0C1756}"/>
    <cellStyle name="Normal 154 2" xfId="1240" xr:uid="{2FB8F741-8EE2-46A8-80D9-D6718D3EE2D9}"/>
    <cellStyle name="Normal 155" xfId="437" xr:uid="{7D978929-D5DA-4EBF-A92E-8D3A4D03A327}"/>
    <cellStyle name="Normal 155 2" xfId="1241" xr:uid="{3C702D48-81D4-47B4-9CF8-DD5A0FCEFD58}"/>
    <cellStyle name="Normal 156" xfId="438" xr:uid="{BEDC78E7-C821-48E4-97AB-299551DCAD02}"/>
    <cellStyle name="Normal 156 2" xfId="1242" xr:uid="{94EA00AF-1B55-4F9E-99B9-669F486BDE8D}"/>
    <cellStyle name="Normal 157" xfId="439" xr:uid="{9784E60D-3A01-47F7-8A3A-7CED486A6B44}"/>
    <cellStyle name="Normal 157 2" xfId="1243" xr:uid="{D27F85CD-4C34-4E65-B188-BA7DAF32AD0A}"/>
    <cellStyle name="Normal 158" xfId="440" xr:uid="{16887A0B-0665-4353-B594-9EADD53E298B}"/>
    <cellStyle name="Normal 158 2" xfId="1244" xr:uid="{3A0CDA4D-62E5-45CF-8805-72D80CBEE786}"/>
    <cellStyle name="Normal 159" xfId="441" xr:uid="{EC24867F-FE64-49FA-93D0-F7C25019071B}"/>
    <cellStyle name="Normal 159 2" xfId="1245" xr:uid="{EF9A24C0-73E9-4E8F-B250-887E8E452220}"/>
    <cellStyle name="Normal 16" xfId="442" xr:uid="{EAF51FE8-13B3-4A77-845C-25D4E5577A85}"/>
    <cellStyle name="Normal 16 2" xfId="443" xr:uid="{502CE3CB-AA8D-44E7-9216-11903CB7C380}"/>
    <cellStyle name="Normal 16 3" xfId="444" xr:uid="{99E50939-4FB7-4F6B-BC4A-12DA1138C27E}"/>
    <cellStyle name="Normal 16 3 2" xfId="1246" xr:uid="{21EDD7F7-ABF6-4E36-9BAE-D842A699037F}"/>
    <cellStyle name="Normal 16 4" xfId="445" xr:uid="{E255AF07-D2C3-4D8A-A63D-9A4D8C28C37C}"/>
    <cellStyle name="Normal 16 4 2" xfId="1247" xr:uid="{E695D91B-6FC4-4B48-B6DD-D5C752C5D468}"/>
    <cellStyle name="Normal 16 5" xfId="446" xr:uid="{3533FBCD-A52D-4BFA-ABB8-6FDA43FBA376}"/>
    <cellStyle name="Normal 16 5 2" xfId="1248" xr:uid="{56C7B145-8FC6-4585-AB0D-6008425EB8D5}"/>
    <cellStyle name="Normal 16_BP2011(2H 6+6 Partial +300NV_+122GSM)_V 7 20Jul2011 to CPD" xfId="447" xr:uid="{04EB7C1C-7E17-4741-A434-5EF53CFBA2BD}"/>
    <cellStyle name="Normal 160" xfId="448" xr:uid="{CA22124C-CA35-47CF-B6E3-73FC303549C1}"/>
    <cellStyle name="Normal 160 2" xfId="1249" xr:uid="{2437B84B-3730-45C4-807B-75412C5D257F}"/>
    <cellStyle name="Normal 161" xfId="449" xr:uid="{E669A8AF-CA0A-4033-9EB4-71B35CD3096D}"/>
    <cellStyle name="Normal 161 2" xfId="1250" xr:uid="{B87C60E5-4FAB-4606-AFCF-CCC82A4C4AA4}"/>
    <cellStyle name="Normal 162" xfId="450" xr:uid="{0FC9223F-D35C-46CD-A63F-708767684BF7}"/>
    <cellStyle name="Normal 162 2" xfId="1251" xr:uid="{D788AB92-1A48-467E-B53B-9407FA448C0B}"/>
    <cellStyle name="Normal 163" xfId="451" xr:uid="{EF8E799C-5A24-4974-9AAD-3A330C1D1816}"/>
    <cellStyle name="Normal 163 2" xfId="1252" xr:uid="{F52D6821-B927-4DCB-878E-297E2AD72388}"/>
    <cellStyle name="Normal 164" xfId="452" xr:uid="{1A459713-6D29-4D79-869B-597BDAA79FF3}"/>
    <cellStyle name="Normal 164 2" xfId="1253" xr:uid="{D5870E5A-60EE-4E8D-AE46-670859665BF7}"/>
    <cellStyle name="Normal 165" xfId="453" xr:uid="{FCCB47D6-9B35-488B-B6B0-38E4D30F5643}"/>
    <cellStyle name="Normal 165 2" xfId="1254" xr:uid="{8EB98674-0D25-4CEF-A963-0CDAD37DFE4A}"/>
    <cellStyle name="Normal 165 5" xfId="1001" xr:uid="{9E54C56F-747B-4AC4-8DF4-442B2841BB78}"/>
    <cellStyle name="Normal 165 5 2" xfId="1255" xr:uid="{32904F4C-1BF8-4319-BA8C-4CB7DD406C0A}"/>
    <cellStyle name="Normal 166" xfId="454" xr:uid="{C89D4677-2D3D-45AA-A1BB-664396D3F876}"/>
    <cellStyle name="Normal 166 2" xfId="1256" xr:uid="{21381BE8-6C89-4B94-B095-5C849BEFACFA}"/>
    <cellStyle name="Normal 167" xfId="455" xr:uid="{422E7BF2-6FF3-4847-BE64-218B21D417F1}"/>
    <cellStyle name="Normal 167 2" xfId="1257" xr:uid="{C2B4F240-C042-4B13-924E-210DC5C412E5}"/>
    <cellStyle name="Normal 168" xfId="456" xr:uid="{22CAD6E7-829A-4FBC-B0D1-530FD1A5C12A}"/>
    <cellStyle name="Normal 168 2" xfId="1258" xr:uid="{2776A822-D36E-4547-BEAB-B5CD62104523}"/>
    <cellStyle name="Normal 169" xfId="457" xr:uid="{5017354C-CC45-4FDE-940C-92318577213C}"/>
    <cellStyle name="Normal 169 2" xfId="1259" xr:uid="{8F0EF66D-54B6-495A-B2AC-116A96252A24}"/>
    <cellStyle name="Normal 17" xfId="458" xr:uid="{1DE06CCE-3CB4-41E1-B42E-816E3744CB8F}"/>
    <cellStyle name="Normal 17 2" xfId="459" xr:uid="{09D59ACF-3289-438D-B116-15165654ABAC}"/>
    <cellStyle name="Normal 17 3" xfId="460" xr:uid="{9938E582-9C23-4CFA-8344-9852EA1981A0}"/>
    <cellStyle name="Normal 170" xfId="461" xr:uid="{2E0DE28F-4284-4DD6-914B-A17607210648}"/>
    <cellStyle name="Normal 170 2" xfId="1260" xr:uid="{660369DA-51D4-4A8F-BAC0-5D318D204D54}"/>
    <cellStyle name="Normal 171" xfId="462" xr:uid="{9CE0B114-B0B9-4A9E-9A89-30A394D1E82C}"/>
    <cellStyle name="Normal 171 2" xfId="1261" xr:uid="{126FAD26-DDE2-4A2D-8C40-1B3D4A58428A}"/>
    <cellStyle name="Normal 172" xfId="463" xr:uid="{CCB7EC65-A3E0-4555-BC3B-5090BB84B777}"/>
    <cellStyle name="Normal 172 2" xfId="1262" xr:uid="{CBC92AC5-68F5-4CAA-866A-E70664803D5B}"/>
    <cellStyle name="Normal 173" xfId="464" xr:uid="{EF341303-F9D3-4428-B7CC-CCCE0FDF40CE}"/>
    <cellStyle name="Normal 173 2" xfId="1263" xr:uid="{07D28C20-C08B-4C3C-9FE3-843E3E0A0400}"/>
    <cellStyle name="Normal 174" xfId="465" xr:uid="{E78BB8B3-F6FB-4F13-A281-E5A0C9F238D9}"/>
    <cellStyle name="Normal 174 2" xfId="1264" xr:uid="{9E128000-326B-40FB-B56C-B50DAD5C7E54}"/>
    <cellStyle name="Normal 175" xfId="466" xr:uid="{A10F0ADE-EF37-4C96-B78C-D532F7C94371}"/>
    <cellStyle name="Normal 175 2" xfId="1265" xr:uid="{AE33944A-9E09-4813-9A62-F4311C382AD1}"/>
    <cellStyle name="Normal 176" xfId="467" xr:uid="{1D44B05B-6C5A-427B-B184-3AB7B21490D1}"/>
    <cellStyle name="Normal 176 2" xfId="1266" xr:uid="{33333501-6E83-4763-91C7-FAFD09DBBF0A}"/>
    <cellStyle name="Normal 177" xfId="468" xr:uid="{2F0EC457-C327-42F0-B1C6-90C47A0ABC1E}"/>
    <cellStyle name="Normal 177 2" xfId="1267" xr:uid="{4828530D-B66A-4789-9955-5CED45389101}"/>
    <cellStyle name="Normal 178" xfId="469" xr:uid="{D001C15F-F586-46C7-8A79-780E92C87ABD}"/>
    <cellStyle name="Normal 178 2" xfId="1268" xr:uid="{C60384AB-DD2F-4B09-A13D-4FD8EA73A7CB}"/>
    <cellStyle name="Normal 179" xfId="470" xr:uid="{89665256-5884-4A1C-96A8-FCB20DDF5ADE}"/>
    <cellStyle name="Normal 179 2" xfId="1269" xr:uid="{B3AA46E7-9110-4EAF-A8AA-113CED22F341}"/>
    <cellStyle name="Normal 18" xfId="471" xr:uid="{2ED8F2D9-EE28-4B3B-BD65-3E7C251ED27C}"/>
    <cellStyle name="Normal 18 2" xfId="472" xr:uid="{ADC79FF4-3455-49D0-8CCA-B5E4E85FCD5A}"/>
    <cellStyle name="Normal 18 3" xfId="473" xr:uid="{2BEF61DD-D7E0-4CF3-A412-CEE9C420C62D}"/>
    <cellStyle name="Normal 180" xfId="474" xr:uid="{125929CC-A032-49DE-B853-F02CAE9BE934}"/>
    <cellStyle name="Normal 180 2" xfId="1270" xr:uid="{F1E3DA21-670E-4206-89C4-156B4CAB68E8}"/>
    <cellStyle name="Normal 181" xfId="475" xr:uid="{C83C256E-6033-4FF7-90DA-7378FE8F91F1}"/>
    <cellStyle name="Normal 181 2" xfId="1271" xr:uid="{9A303642-3357-4F35-BDC5-A5B152B7524D}"/>
    <cellStyle name="Normal 182" xfId="476" xr:uid="{D7338BC1-4193-4E81-953E-7FB7F08711A4}"/>
    <cellStyle name="Normal 182 2" xfId="1272" xr:uid="{45306020-ED49-4A39-A895-B7AD98B16910}"/>
    <cellStyle name="Normal 183" xfId="477" xr:uid="{677F297C-FE14-4A12-A564-09108737ABD0}"/>
    <cellStyle name="Normal 183 2" xfId="1273" xr:uid="{2EDFF0C1-8FCB-48C2-A175-0C9841AAA0F6}"/>
    <cellStyle name="Normal 184" xfId="478" xr:uid="{8BB7AE55-867B-43F8-A112-2EE80E454AFE}"/>
    <cellStyle name="Normal 184 2" xfId="1274" xr:uid="{76DB0C33-6423-408D-8CB7-3453A7763D76}"/>
    <cellStyle name="Normal 185" xfId="479" xr:uid="{37BA8B88-3AC6-4B73-9571-9A0C21444BB1}"/>
    <cellStyle name="Normal 185 2" xfId="1275" xr:uid="{403F880D-EB87-4434-9B1C-2F9B8B44F2EA}"/>
    <cellStyle name="Normal 186" xfId="480" xr:uid="{02F48E74-6727-4F8E-A708-0F0C289064EE}"/>
    <cellStyle name="Normal 186 2" xfId="1276" xr:uid="{EC4FD59F-66B7-454B-B380-D6B1E6BFE2E8}"/>
    <cellStyle name="Normal 187" xfId="481" xr:uid="{4CB1BF32-BBDE-450D-A571-921F47BB99A5}"/>
    <cellStyle name="Normal 187 2" xfId="1277" xr:uid="{29C65998-9A3B-4C04-AB36-E4CA8268DD38}"/>
    <cellStyle name="Normal 188" xfId="482" xr:uid="{04A3ACBC-ADC1-496F-8529-C7B4AAD55C18}"/>
    <cellStyle name="Normal 188 2" xfId="1278" xr:uid="{40E4BA0B-F3C0-4F06-BA7C-59F9EBEAAA51}"/>
    <cellStyle name="Normal 189" xfId="483" xr:uid="{89E0280C-7A6B-4F3C-89A3-5FA723BA2B91}"/>
    <cellStyle name="Normal 189 2" xfId="1279" xr:uid="{19EF337A-9543-4243-9404-5A370F791172}"/>
    <cellStyle name="Normal 19" xfId="484" xr:uid="{CB754F2B-8BEB-40DB-8B35-693EE2B35671}"/>
    <cellStyle name="Normal 19 2" xfId="485" xr:uid="{E9270863-CD54-49B0-99F0-8417775D8432}"/>
    <cellStyle name="Normal 19 2 2" xfId="1280" xr:uid="{67E6AE5A-29F3-4F4A-81A9-587E00DC3BF2}"/>
    <cellStyle name="Normal 19 3" xfId="486" xr:uid="{8C121004-8FCE-4263-B3EE-0F8059240586}"/>
    <cellStyle name="Normal 190" xfId="487" xr:uid="{0614DE70-1305-4BA5-830D-924B3EE8FCA7}"/>
    <cellStyle name="Normal 190 2" xfId="1281" xr:uid="{350F5C34-E17E-4AF2-9A04-A1695B16A28C}"/>
    <cellStyle name="Normal 191" xfId="488" xr:uid="{406B2B15-1BFB-4F8F-8DD9-B3DBFC558232}"/>
    <cellStyle name="Normal 191 2" xfId="1282" xr:uid="{A644FB30-C59C-4CE6-BDD2-B0281414A5C6}"/>
    <cellStyle name="Normal 192" xfId="489" xr:uid="{3150BC37-9BD9-4E0A-9321-9E5A8AF02A06}"/>
    <cellStyle name="Normal 192 2" xfId="1283" xr:uid="{5BC1E9A7-C05B-4397-A214-EA5EF2CED039}"/>
    <cellStyle name="Normal 193" xfId="490" xr:uid="{CAF81D42-2793-429B-B229-BCB92404EA0D}"/>
    <cellStyle name="Normal 193 2" xfId="1284" xr:uid="{C7A9F4E3-4E51-4E93-82D1-EA97E0AFC480}"/>
    <cellStyle name="Normal 194" xfId="491" xr:uid="{B2EBBC51-28C1-43E8-819B-D4BDBAEB8203}"/>
    <cellStyle name="Normal 194 2" xfId="1285" xr:uid="{0D0BEB1F-D77F-453B-A674-E3746F64811E}"/>
    <cellStyle name="Normal 195" xfId="492" xr:uid="{56C71BBC-95E4-427C-9E59-0BE83668BCBD}"/>
    <cellStyle name="Normal 195 2" xfId="1286" xr:uid="{DA025B43-ECC5-4235-A12C-880FC0A9D9CE}"/>
    <cellStyle name="Normal 196" xfId="493" xr:uid="{415CC878-FF07-432E-B9CB-B0709B3E0908}"/>
    <cellStyle name="Normal 196 2" xfId="1287" xr:uid="{6E3C2417-BDC2-487D-B9F1-A18BBB0D2B87}"/>
    <cellStyle name="Normal 197" xfId="494" xr:uid="{8F613D00-5675-468E-AF8F-15833A63F55D}"/>
    <cellStyle name="Normal 197 2" xfId="1288" xr:uid="{F1C35E52-3FEE-4D42-BB99-D1321CB7EB5A}"/>
    <cellStyle name="Normal 198" xfId="495" xr:uid="{9FA580CD-6FB6-4315-BA3D-06B6494D79E4}"/>
    <cellStyle name="Normal 198 2" xfId="1289" xr:uid="{3ACBF53D-67CC-4855-B472-097FB213CCB3}"/>
    <cellStyle name="Normal 199" xfId="496" xr:uid="{19868BB7-A83D-4FB2-9A80-76C2FB603090}"/>
    <cellStyle name="Normal 199 2" xfId="1290" xr:uid="{4E9634F1-BDC0-4419-B39A-416E163F0069}"/>
    <cellStyle name="Normal 2" xfId="46" xr:uid="{783B0450-9812-46CD-AE7F-804354A0DB44}"/>
    <cellStyle name="Normal 2 10" xfId="1291" xr:uid="{A9C68FD9-AE0E-4522-92DF-C070979758AD}"/>
    <cellStyle name="Normal 2 15" xfId="1002" xr:uid="{95148406-1C9F-4DEA-A078-F6DACCC0CAE3}"/>
    <cellStyle name="Normal 2 15 2" xfId="1292" xr:uid="{8C7BC0E5-9C15-4B61-A522-F77C284D1FF7}"/>
    <cellStyle name="Normal 2 2" xfId="52" xr:uid="{85557597-E591-433F-9893-A6EB3D91942F}"/>
    <cellStyle name="Normal 2 2 2" xfId="499" xr:uid="{31AE28A6-7350-4C3F-8EAE-0335F3BAD9AD}"/>
    <cellStyle name="Normal 2 2 2 2" xfId="1293" xr:uid="{1B48F885-9089-4ED6-AA67-DCE8403824BE}"/>
    <cellStyle name="Normal 2 2 3" xfId="500" xr:uid="{E9610C29-0E78-4186-B7D8-302D8D3EF740}"/>
    <cellStyle name="Normal 2 2 4" xfId="498" xr:uid="{87D4F1F0-474B-4E07-9EE0-D4AF5167B167}"/>
    <cellStyle name="Normal 2 2 5" xfId="997" xr:uid="{5D276596-B973-4BD5-A754-31F60B53EC85}"/>
    <cellStyle name="Normal 2 3" xfId="501" xr:uid="{96C7D364-B6C2-4A3E-83A5-A88028491954}"/>
    <cellStyle name="Normal 2 3 2" xfId="502" xr:uid="{7F73B848-A971-43E4-A5CF-924AFDA7311F}"/>
    <cellStyle name="Normal 2 3 3" xfId="1003" xr:uid="{E39D7BA6-9E10-4AE0-B090-3CA60269858E}"/>
    <cellStyle name="Normal 2 4" xfId="503" xr:uid="{8804646A-490F-4398-AFDA-796148A986BA}"/>
    <cellStyle name="Normal 2 5" xfId="504" xr:uid="{304E4B6A-301D-4E39-818E-F5A08DD09B2A}"/>
    <cellStyle name="Normal 2 6" xfId="505" xr:uid="{D271B48C-0623-4F81-9E72-A027844AA256}"/>
    <cellStyle name="Normal 2 7" xfId="506" xr:uid="{4731B666-E97C-4BA7-8A5B-D4051CDA6525}"/>
    <cellStyle name="Normal 2 7 2" xfId="1294" xr:uid="{F6B3B709-DA40-406D-9D2D-C1149BC40DC7}"/>
    <cellStyle name="Normal 2 8" xfId="497" xr:uid="{F7E9C84A-2BD2-4D9B-BD01-386B2AFB59D8}"/>
    <cellStyle name="Normal 2 9" xfId="978" xr:uid="{7A914775-795B-4E99-9242-FA1FC58A3C18}"/>
    <cellStyle name="Normal 2_BP2011(2H 6+6 Partial +300NV_+122GSM)_V 7 20Jul2011 to CPD" xfId="507" xr:uid="{A35FC2D0-D094-448E-829C-B2B5B46DB9AB}"/>
    <cellStyle name="Normal 20" xfId="508" xr:uid="{BEE5948E-2BC5-478C-9EBF-A0141F0C8ECA}"/>
    <cellStyle name="Normal 20 2" xfId="509" xr:uid="{3B8E59D3-8768-45DA-9DBD-C72461D0BC86}"/>
    <cellStyle name="Normal 20 2 2" xfId="1295" xr:uid="{2DC58B1F-EA87-4E2E-A35F-7B8FB3332C5D}"/>
    <cellStyle name="Normal 20 3" xfId="510" xr:uid="{BDE1A81F-2BCD-4426-B5B5-EC32F39AE757}"/>
    <cellStyle name="Normal 200" xfId="511" xr:uid="{379EBFB1-A9F4-42B4-A668-CE83516DEA89}"/>
    <cellStyle name="Normal 200 2" xfId="1296" xr:uid="{B3308E04-16B6-4124-9A83-63D7C7C7A486}"/>
    <cellStyle name="Normal 201" xfId="512" xr:uid="{1FEF2A52-7BA9-4E1C-B372-F2FAA5103FC2}"/>
    <cellStyle name="Normal 201 2" xfId="1297" xr:uid="{9287C04F-B26F-423A-AC1C-845CC67919AD}"/>
    <cellStyle name="Normal 202" xfId="513" xr:uid="{F11C828A-924A-4A60-9F8F-0D115043D9CC}"/>
    <cellStyle name="Normal 202 2" xfId="1298" xr:uid="{3E71337C-8105-4FA9-94C4-BBC62B3D1716}"/>
    <cellStyle name="Normal 203" xfId="514" xr:uid="{872E4CB2-636E-41CD-9258-0E9D53DA2DA6}"/>
    <cellStyle name="Normal 203 2" xfId="1299" xr:uid="{13EB68CA-A94F-4635-9924-C028D341CC32}"/>
    <cellStyle name="Normal 204" xfId="515" xr:uid="{BF43BD0B-2915-481A-B5CA-2A1404FF4AC3}"/>
    <cellStyle name="Normal 204 2" xfId="1300" xr:uid="{D5D9438A-1D52-4C50-B214-595153835BDF}"/>
    <cellStyle name="Normal 205" xfId="516" xr:uid="{935C30A9-BA45-4B01-95EF-ABC89DE7D433}"/>
    <cellStyle name="Normal 205 2" xfId="1301" xr:uid="{73D7DAC4-FA75-4567-9C0B-C479E9F91331}"/>
    <cellStyle name="Normal 206" xfId="517" xr:uid="{75D9DCE1-DEC7-4C18-A9DF-F54835A8A7AB}"/>
    <cellStyle name="Normal 206 2" xfId="1302" xr:uid="{C803FBB1-3B3F-4BBC-962A-283C476428A3}"/>
    <cellStyle name="Normal 207" xfId="518" xr:uid="{08F8B53C-C3FB-4FA9-8847-7140115882FC}"/>
    <cellStyle name="Normal 207 2" xfId="1303" xr:uid="{41ED1406-1567-4F89-B300-0DB95001109A}"/>
    <cellStyle name="Normal 208" xfId="519" xr:uid="{60F69164-6AC6-4817-80C2-6AF613848A3C}"/>
    <cellStyle name="Normal 208 2" xfId="1304" xr:uid="{8501B495-4E96-4417-8445-8C122584DDF7}"/>
    <cellStyle name="Normal 209" xfId="520" xr:uid="{9DE7545A-EEF7-4E6D-94D6-9AA6679E022D}"/>
    <cellStyle name="Normal 209 2" xfId="1305" xr:uid="{2786497E-C661-4586-B1E6-BDD2F55B292D}"/>
    <cellStyle name="Normal 21" xfId="521" xr:uid="{EA5800D2-51EC-4163-BD82-77EAC0B1DE46}"/>
    <cellStyle name="Normal 21 2" xfId="522" xr:uid="{83A8C572-2240-41BE-A95C-9E5D18D71E1F}"/>
    <cellStyle name="Normal 21 2 2" xfId="1306" xr:uid="{B93E5DA1-BA7A-42E2-9FB8-9B74A1C1F432}"/>
    <cellStyle name="Normal 21 3" xfId="523" xr:uid="{A9AD4F79-AF3E-4456-97D1-DC36A0EF874B}"/>
    <cellStyle name="Normal 210" xfId="524" xr:uid="{56806D6F-C97B-4746-B8EE-8D7A8304CFC5}"/>
    <cellStyle name="Normal 210 2" xfId="1307" xr:uid="{EB903750-CD69-409F-BB70-E82EF6D6294A}"/>
    <cellStyle name="Normal 211" xfId="525" xr:uid="{139F36EB-216B-48E7-B12A-893428833FDF}"/>
    <cellStyle name="Normal 211 2" xfId="1308" xr:uid="{93B6218B-611F-49C5-84DE-8882C41BE2D8}"/>
    <cellStyle name="Normal 212" xfId="526" xr:uid="{603799D8-D591-4E70-8D04-223EE2164369}"/>
    <cellStyle name="Normal 212 2" xfId="1309" xr:uid="{A8BE1A5C-F77D-496F-968C-7FE7B71A1A3E}"/>
    <cellStyle name="Normal 213" xfId="527" xr:uid="{98A9B43B-0367-4B9C-8DD6-16B93E2AAD59}"/>
    <cellStyle name="Normal 213 2" xfId="1310" xr:uid="{C8599C96-678F-41BA-B192-8CF30FCE7033}"/>
    <cellStyle name="Normal 214" xfId="528" xr:uid="{441255FA-5AE8-4D7C-9BE1-4B1EE374B0AD}"/>
    <cellStyle name="Normal 214 2" xfId="1311" xr:uid="{B56094CC-B632-4E6B-9191-0E355E541728}"/>
    <cellStyle name="Normal 215" xfId="529" xr:uid="{84AB8B89-41C4-41DD-AB83-64479513BF47}"/>
    <cellStyle name="Normal 215 2" xfId="1312" xr:uid="{9BA6A0D7-6C9F-426C-B882-F61BDB190A95}"/>
    <cellStyle name="Normal 216" xfId="530" xr:uid="{54012851-3360-4E25-97F4-8AC8D40D0FD3}"/>
    <cellStyle name="Normal 216 2" xfId="1313" xr:uid="{B2F60239-3E73-4399-9ED7-30064C98AAAF}"/>
    <cellStyle name="Normal 217" xfId="531" xr:uid="{A400C047-59F6-4446-BBB5-2404F653565A}"/>
    <cellStyle name="Normal 217 2" xfId="1314" xr:uid="{B101A87F-B70D-4501-8F98-4905A2FCB22A}"/>
    <cellStyle name="Normal 218" xfId="532" xr:uid="{4DBC3220-167E-4432-BE88-E56DFA04C798}"/>
    <cellStyle name="Normal 218 2" xfId="1315" xr:uid="{8F9CF446-92D1-4DE8-A378-404E31EEC3A4}"/>
    <cellStyle name="Normal 219" xfId="533" xr:uid="{DE91ECC1-027C-4D40-9A31-86E321A39759}"/>
    <cellStyle name="Normal 219 2" xfId="1316" xr:uid="{4E50F6B4-624F-4164-AA8A-B77020FEDD2B}"/>
    <cellStyle name="Normal 22" xfId="534" xr:uid="{D029EE6F-584F-4190-886E-462E42CE5727}"/>
    <cellStyle name="Normal 22 2" xfId="535" xr:uid="{7614CF76-C229-4784-A055-1D2D7411B9A2}"/>
    <cellStyle name="Normal 22 2 2" xfId="1317" xr:uid="{C790B38A-11B5-45D5-AA7A-2388F01EB913}"/>
    <cellStyle name="Normal 22 3" xfId="536" xr:uid="{E6DDD61B-B7B0-471E-BF84-BE46DBCC31C6}"/>
    <cellStyle name="Normal 22 3 2" xfId="1318" xr:uid="{BE9B320E-BE4F-43AD-A2D8-44A332AA9189}"/>
    <cellStyle name="Normal 220" xfId="537" xr:uid="{DD51E421-1536-4DC3-AFFD-F70590A7D2E2}"/>
    <cellStyle name="Normal 220 2" xfId="1319" xr:uid="{CFF6EBB4-C2FC-42CD-8F54-9C56615651C8}"/>
    <cellStyle name="Normal 221" xfId="538" xr:uid="{725B8568-CAAD-4CAD-8A50-97807C126BBC}"/>
    <cellStyle name="Normal 221 2" xfId="1320" xr:uid="{37E3CFFF-DC7C-4D6C-9414-A0541AEB4A75}"/>
    <cellStyle name="Normal 222" xfId="539" xr:uid="{564A60C0-457D-4191-9350-FCD0F7FCEA44}"/>
    <cellStyle name="Normal 222 2" xfId="1321" xr:uid="{5B46630F-F8CB-4BD7-973E-1FD7031F2DF3}"/>
    <cellStyle name="Normal 223" xfId="540" xr:uid="{4327A615-070F-4C6A-9D4F-E6998CA7AE07}"/>
    <cellStyle name="Normal 223 2" xfId="1322" xr:uid="{D086F9B5-C436-4FF4-BA30-3FE070F91A92}"/>
    <cellStyle name="Normal 224" xfId="541" xr:uid="{A4D9C76D-99E8-4EBC-AF78-CD9886EA88F5}"/>
    <cellStyle name="Normal 224 2" xfId="1323" xr:uid="{48F72E93-032D-4778-A4DB-174169830477}"/>
    <cellStyle name="Normal 225" xfId="542" xr:uid="{FFDDE3F4-9F42-4AF6-9E94-8B0FAE481A8D}"/>
    <cellStyle name="Normal 225 2" xfId="1324" xr:uid="{B0EDA221-A22E-453C-81FF-70D09CF59B0C}"/>
    <cellStyle name="Normal 226" xfId="543" xr:uid="{795FCA4B-BB48-4DA2-92A1-3A6FC0F8A647}"/>
    <cellStyle name="Normal 226 2" xfId="1325" xr:uid="{E21F5B8D-1803-495B-B0F8-CBEAABEA0313}"/>
    <cellStyle name="Normal 227" xfId="544" xr:uid="{A561B83B-354D-42F0-9874-744B18A9160C}"/>
    <cellStyle name="Normal 227 2" xfId="1326" xr:uid="{59301901-448F-4E07-82CC-78D59B05EE41}"/>
    <cellStyle name="Normal 228" xfId="545" xr:uid="{BE7F31D4-F9AC-4CBB-B2BE-8F3C4204D80B}"/>
    <cellStyle name="Normal 228 2" xfId="1327" xr:uid="{8A4C50F7-F35F-4912-B436-ACDA2B71C22B}"/>
    <cellStyle name="Normal 229" xfId="546" xr:uid="{5C4EB788-3F14-453E-8B55-F0DB4B5DFDD6}"/>
    <cellStyle name="Normal 23" xfId="547" xr:uid="{7AC8900B-15D4-4A96-8659-C110F49FC3CD}"/>
    <cellStyle name="Normal 23 2" xfId="548" xr:uid="{1EC4F7C7-5BC8-4E0E-8F9E-7CF03E6E1284}"/>
    <cellStyle name="Normal 23 2 2" xfId="1328" xr:uid="{02D05B40-CC9B-466C-B3F9-D5B52F4A2A28}"/>
    <cellStyle name="Normal 23 3" xfId="549" xr:uid="{17730E72-40DD-4AB3-BAA7-E360FFB698F8}"/>
    <cellStyle name="Normal 23 3 2" xfId="1329" xr:uid="{F5D64F7F-643C-41B9-91C5-D5FF0A2051F4}"/>
    <cellStyle name="Normal 230" xfId="550" xr:uid="{646CD3B6-7700-414D-8785-F8A165E59C77}"/>
    <cellStyle name="Normal 231" xfId="551" xr:uid="{99A8B042-8892-45C9-B6A8-6857D5648E13}"/>
    <cellStyle name="Normal 232" xfId="552" xr:uid="{2C0759BA-59AA-40B0-A6D9-7BB28C0525AD}"/>
    <cellStyle name="Normal 233" xfId="553" xr:uid="{EB0ABAC8-7EDB-4336-A992-C3492BB308C7}"/>
    <cellStyle name="Normal 234" xfId="554" xr:uid="{FE8B8E93-4342-47FD-BB0E-A3049D0E0604}"/>
    <cellStyle name="Normal 235" xfId="555" xr:uid="{F8DCB870-DC46-4941-A260-71D3D3325E74}"/>
    <cellStyle name="Normal 235 2" xfId="1330" xr:uid="{EDE053DF-8D4E-49C7-B602-D7AD8A421CE8}"/>
    <cellStyle name="Normal 236" xfId="556" xr:uid="{2DBE03B2-5B7B-4E02-BC06-444D47A8951C}"/>
    <cellStyle name="Normal 236 2" xfId="1331" xr:uid="{42824B74-0DA0-4F34-885F-9668223F1075}"/>
    <cellStyle name="Normal 237" xfId="557" xr:uid="{96E1B970-51D4-4D72-8558-845B4049A3EF}"/>
    <cellStyle name="Normal 237 2" xfId="1332" xr:uid="{15CD2928-8982-4EF1-BD53-DEAEE7EEA1BF}"/>
    <cellStyle name="Normal 238" xfId="558" xr:uid="{26559661-B3E1-454E-B694-E51A93382B26}"/>
    <cellStyle name="Normal 238 2" xfId="1333" xr:uid="{E20A786F-433B-4D95-A899-2705B71F963A}"/>
    <cellStyle name="Normal 239" xfId="559" xr:uid="{37CF3CFB-9AA5-4828-A42C-90295B0DAF04}"/>
    <cellStyle name="Normal 239 2" xfId="1334" xr:uid="{2207032D-C9C0-4389-9F06-94131DAC78D8}"/>
    <cellStyle name="Normal 24" xfId="560" xr:uid="{DF86B81D-19D5-47F9-A666-39B41B11F652}"/>
    <cellStyle name="Normal 24 2" xfId="561" xr:uid="{48E6F575-832A-4A8D-A954-EF31841610E6}"/>
    <cellStyle name="Normal 24 2 2" xfId="1335" xr:uid="{9751B2B7-2FC9-4053-95A6-A1163DB24084}"/>
    <cellStyle name="Normal 24 3" xfId="562" xr:uid="{414E4216-7B09-4295-97FA-5200DEC976DC}"/>
    <cellStyle name="Normal 24 3 2" xfId="1336" xr:uid="{07720ED2-05A5-4848-95C0-D51F8D66891B}"/>
    <cellStyle name="Normal 240" xfId="563" xr:uid="{3BBDA7AF-AA00-4D9B-850C-5257DA5C0927}"/>
    <cellStyle name="Normal 240 2" xfId="1337" xr:uid="{5C5E87BA-00F6-40F7-B8AB-C2526C5CD714}"/>
    <cellStyle name="Normal 241" xfId="564" xr:uid="{E5B84EBE-0546-4500-86A1-F5AA694E3701}"/>
    <cellStyle name="Normal 241 2" xfId="1338" xr:uid="{D5F0D21E-3A6B-498D-A030-A7EF5107310E}"/>
    <cellStyle name="Normal 242" xfId="565" xr:uid="{AE34C13C-F3A8-4B19-AA80-EC8DBEE009D9}"/>
    <cellStyle name="Normal 242 2" xfId="1339" xr:uid="{61EDC4C5-338C-4A70-8B50-6A5AE9638D67}"/>
    <cellStyle name="Normal 243" xfId="566" xr:uid="{DED90848-4E95-49BE-B4A2-89B928E00715}"/>
    <cellStyle name="Normal 243 2" xfId="1340" xr:uid="{EFCD0338-8214-4011-A7AA-9ABF12FC72FF}"/>
    <cellStyle name="Normal 244" xfId="567" xr:uid="{E8E6BA2A-074E-4BE0-8FEB-F1C7C2CCDD32}"/>
    <cellStyle name="Normal 244 2" xfId="1341" xr:uid="{A60C989D-7D00-4CFF-94FE-DC3864A00F8A}"/>
    <cellStyle name="Normal 245" xfId="568" xr:uid="{B01A3306-BB45-413C-B63D-E52E33A15FD2}"/>
    <cellStyle name="Normal 245 2" xfId="1342" xr:uid="{6E88BC07-2435-4799-8EA5-2B6D302310F3}"/>
    <cellStyle name="Normal 246" xfId="569" xr:uid="{B140BB63-2584-46DD-BE75-7DC89B243C4A}"/>
    <cellStyle name="Normal 246 2" xfId="1343" xr:uid="{CDB855AA-3A22-472B-9E32-5D4487F97F4F}"/>
    <cellStyle name="Normal 247" xfId="570" xr:uid="{8B678977-8199-4D5C-9B2D-1B62100ECFB5}"/>
    <cellStyle name="Normal 247 2" xfId="1344" xr:uid="{3938F86A-BE90-4591-8CE9-DB0D7D5BD224}"/>
    <cellStyle name="Normal 248" xfId="571" xr:uid="{070D017E-ED86-4065-82EA-D6104EC71894}"/>
    <cellStyle name="Normal 248 2" xfId="1345" xr:uid="{7D381A43-781A-47CC-9EC8-F990EEC8AC1B}"/>
    <cellStyle name="Normal 249" xfId="572" xr:uid="{FAFB1D6C-76C7-4AF5-9B40-90B7F679ED1A}"/>
    <cellStyle name="Normal 249 2" xfId="1346" xr:uid="{C46002F5-666E-4C40-A8B0-3B134F0983F1}"/>
    <cellStyle name="Normal 25" xfId="573" xr:uid="{C0482487-74ED-463D-9B05-84DBC8A73545}"/>
    <cellStyle name="Normal 25 2" xfId="574" xr:uid="{7CBED13C-378A-48AA-8212-9701BC567133}"/>
    <cellStyle name="Normal 25 2 2" xfId="1347" xr:uid="{64FB6B2C-037C-4CF6-B8B8-6DDE3B9B6608}"/>
    <cellStyle name="Normal 25 3" xfId="575" xr:uid="{04D526D0-F758-4A52-A2B6-20F48A432955}"/>
    <cellStyle name="Normal 25 3 2" xfId="1348" xr:uid="{D97DF1A7-8C5D-479E-8492-A2BCF8BB8898}"/>
    <cellStyle name="Normal 250" xfId="576" xr:uid="{3BEA010D-F525-4C0A-982B-A3578A8EC0AF}"/>
    <cellStyle name="Normal 250 2" xfId="1349" xr:uid="{E5E516C2-490F-4FD9-B1B0-D084A58E5283}"/>
    <cellStyle name="Normal 251" xfId="577" xr:uid="{B2770689-8AFD-4589-A688-BC44C37835C6}"/>
    <cellStyle name="Normal 251 2" xfId="1350" xr:uid="{A6BD005B-E77E-4BBD-9E2A-0DB66F7518ED}"/>
    <cellStyle name="Normal 252" xfId="578" xr:uid="{8586D01D-F097-4B26-AB6F-24D045B7AFC1}"/>
    <cellStyle name="Normal 252 2" xfId="1351" xr:uid="{52D67EAD-7208-4F4A-A242-043D99CCA166}"/>
    <cellStyle name="Normal 253" xfId="579" xr:uid="{01F2C784-1DDB-4D6D-BC62-7E4F2642C840}"/>
    <cellStyle name="Normal 253 2" xfId="1352" xr:uid="{1C29132A-3D5B-4777-8003-E3227049D256}"/>
    <cellStyle name="Normal 254" xfId="580" xr:uid="{BF4C4DC0-EAB2-446B-A060-2B1B874C8393}"/>
    <cellStyle name="Normal 254 2" xfId="1353" xr:uid="{3D388AA3-97DD-4AD3-95DB-B5AFB3BFE1EF}"/>
    <cellStyle name="Normal 255" xfId="581" xr:uid="{3CC925E6-65A2-4EEA-A88B-CD4163817FC6}"/>
    <cellStyle name="Normal 255 2" xfId="1354" xr:uid="{FDC8DD51-B06C-4C19-ABC2-1AC920DA86FF}"/>
    <cellStyle name="Normal 256" xfId="582" xr:uid="{536DBA4B-7A34-45C6-AD4C-5CE376FC99AD}"/>
    <cellStyle name="Normal 256 2" xfId="1355" xr:uid="{4589C526-F6A1-442B-B996-36AF54E60142}"/>
    <cellStyle name="Normal 257" xfId="583" xr:uid="{9828852E-CA3D-41A9-96F4-CBC979CDC445}"/>
    <cellStyle name="Normal 257 2" xfId="1356" xr:uid="{86015D03-73CF-4C38-A1DF-2B7F5B7C830C}"/>
    <cellStyle name="Normal 258" xfId="584" xr:uid="{57BAD22F-9DAD-4C8B-AF0E-E46D2BFBB975}"/>
    <cellStyle name="Normal 258 2" xfId="1357" xr:uid="{ED58E2CE-D004-40F5-8763-E1A473D7CD18}"/>
    <cellStyle name="Normal 259" xfId="585" xr:uid="{62224477-3B8A-4E66-8B99-F5DA5FC40FA2}"/>
    <cellStyle name="Normal 259 2" xfId="1358" xr:uid="{D87C9534-9DA9-47AA-ACB0-A699DBF480E6}"/>
    <cellStyle name="Normal 26" xfId="586" xr:uid="{64C6157B-2D87-4574-8B80-B3EE3BFD3DAB}"/>
    <cellStyle name="Normal 26 2" xfId="587" xr:uid="{CB88443E-3C8D-4C86-975E-A30CCCAB50ED}"/>
    <cellStyle name="Normal 26 2 2" xfId="1359" xr:uid="{665C9A71-1549-49CF-8668-06A9991FFEE0}"/>
    <cellStyle name="Normal 26 3" xfId="588" xr:uid="{FE64CA7E-52B7-47F7-AB65-7AEA06D0B8B5}"/>
    <cellStyle name="Normal 26 3 2" xfId="1360" xr:uid="{D4F7035B-0A5F-4809-BBDA-F2A749BC8BF4}"/>
    <cellStyle name="Normal 260" xfId="589" xr:uid="{6159C449-6313-4A83-8CB9-DA11808B5B81}"/>
    <cellStyle name="Normal 260 2" xfId="1361" xr:uid="{8FD20B08-6146-4D25-9A0A-622F59700CEF}"/>
    <cellStyle name="Normal 261" xfId="590" xr:uid="{81F14F3F-AF81-43BC-BBD2-789C66AA68C8}"/>
    <cellStyle name="Normal 261 2" xfId="1362" xr:uid="{53B05A65-9D6D-4912-A1B5-CAB77A0D7695}"/>
    <cellStyle name="Normal 262" xfId="591" xr:uid="{9FA40D48-A757-40EE-BBC7-DABD977AE8CC}"/>
    <cellStyle name="Normal 262 2" xfId="1363" xr:uid="{9D343CCF-C49F-4011-A138-2520B56003A4}"/>
    <cellStyle name="Normal 263" xfId="592" xr:uid="{F4D74548-875E-48B6-84E1-A5FF7A472382}"/>
    <cellStyle name="Normal 263 2" xfId="1364" xr:uid="{49FC30AC-724F-450D-A0C7-F521B1FCFEE2}"/>
    <cellStyle name="Normal 264" xfId="593" xr:uid="{C960A319-D6C5-4412-B0A8-1F471BD94FE0}"/>
    <cellStyle name="Normal 264 2" xfId="1365" xr:uid="{3C157C4B-5EDA-4207-BF23-7EE73792719A}"/>
    <cellStyle name="Normal 265" xfId="594" xr:uid="{22703C78-404D-417C-9516-504AA4947A35}"/>
    <cellStyle name="Normal 265 2" xfId="1366" xr:uid="{1DC7E548-F012-4C9C-ABEB-391C3A617E45}"/>
    <cellStyle name="Normal 266" xfId="595" xr:uid="{E914236F-E362-441E-BF1C-822832149A14}"/>
    <cellStyle name="Normal 266 2" xfId="1367" xr:uid="{3D506758-4C09-4324-AB14-8B74B4D58C8D}"/>
    <cellStyle name="Normal 267" xfId="596" xr:uid="{8D75473B-0E54-4CEE-A2FC-87075A19EC36}"/>
    <cellStyle name="Normal 267 2" xfId="1368" xr:uid="{8EA925D3-34B5-4029-8EB8-2F1481B840DF}"/>
    <cellStyle name="Normal 268" xfId="597" xr:uid="{F47121E0-FB12-4A5F-B8B1-578C18084F65}"/>
    <cellStyle name="Normal 268 2" xfId="1369" xr:uid="{18CAD386-0C63-41C0-AE1A-3ED0BB11C4EC}"/>
    <cellStyle name="Normal 269" xfId="598" xr:uid="{8D1AF202-F3F8-4149-BFCF-533A09A87599}"/>
    <cellStyle name="Normal 269 2" xfId="1370" xr:uid="{A845FB47-0979-4DE3-8757-2F404E41FB97}"/>
    <cellStyle name="Normal 27" xfId="599" xr:uid="{47339909-BC77-4AE7-A40D-49C9B36B740E}"/>
    <cellStyle name="Normal 27 2" xfId="600" xr:uid="{5EA13274-00C8-4B82-A4D0-F4BCD255A1E0}"/>
    <cellStyle name="Normal 27 2 2" xfId="1371" xr:uid="{5D1BCC43-47EA-4F36-90B6-5E25CE525E45}"/>
    <cellStyle name="Normal 27 3" xfId="601" xr:uid="{6D1FC61A-2E66-4E4E-9259-AE7018BE09A7}"/>
    <cellStyle name="Normal 27 3 2" xfId="1372" xr:uid="{8558CA67-ADD9-416B-8946-4FFBE9388E30}"/>
    <cellStyle name="Normal 270" xfId="602" xr:uid="{9EB3EB73-8450-46FE-B472-0FE19626AFCA}"/>
    <cellStyle name="Normal 270 2" xfId="1373" xr:uid="{CD78503B-C649-46CA-A672-A476D0FADFAC}"/>
    <cellStyle name="Normal 271" xfId="603" xr:uid="{980B50BC-C9B3-4EA0-8C7E-88048DB4AE42}"/>
    <cellStyle name="Normal 271 2" xfId="1374" xr:uid="{E4AE242B-1815-462C-BB22-5F86210C8924}"/>
    <cellStyle name="Normal 272" xfId="604" xr:uid="{B717FF6E-EA4C-496D-BC64-7C8B8D0F0CCC}"/>
    <cellStyle name="Normal 272 2" xfId="1375" xr:uid="{80FDF0C6-FFD3-4B71-B3B0-0BB0E4F3579E}"/>
    <cellStyle name="Normal 273" xfId="605" xr:uid="{9F10FDD2-CA6D-4C98-B9AC-676A91E6A4FD}"/>
    <cellStyle name="Normal 273 2" xfId="1376" xr:uid="{91D4D2C1-CADA-4134-A9B2-BB8E9B4EBEA1}"/>
    <cellStyle name="Normal 274" xfId="606" xr:uid="{A3B5C959-D46D-4DDA-83DE-6D2374CE96ED}"/>
    <cellStyle name="Normal 274 2" xfId="1377" xr:uid="{C87B1EA8-2627-41E4-9A94-7B5177816CFC}"/>
    <cellStyle name="Normal 275" xfId="607" xr:uid="{0861D38E-C419-4F63-922C-BE23D013205A}"/>
    <cellStyle name="Normal 275 2" xfId="1378" xr:uid="{FD04EEC2-41CB-42E1-B8FD-346A2B130F4F}"/>
    <cellStyle name="Normal 276" xfId="608" xr:uid="{F61DBF97-5DC1-4E5D-8326-479110B42CEA}"/>
    <cellStyle name="Normal 276 2" xfId="1379" xr:uid="{05C8DC60-9A66-430A-BAE4-A07ED19CDA7A}"/>
    <cellStyle name="Normal 277" xfId="609" xr:uid="{7E4D2A2A-C1EA-455E-A7ED-2C4B7E2C060F}"/>
    <cellStyle name="Normal 277 2" xfId="1380" xr:uid="{2942231E-3305-4E3C-B70B-9A9CEE632716}"/>
    <cellStyle name="Normal 278" xfId="610" xr:uid="{B1C2935F-DDC2-45A8-9111-1FE26FDC139C}"/>
    <cellStyle name="Normal 278 2" xfId="1381" xr:uid="{D983D335-6AF3-4E5D-9E5C-2B4556D4CA95}"/>
    <cellStyle name="Normal 279" xfId="611" xr:uid="{C88E44DB-9BFB-4B99-ABBE-5EF3E2EFAE96}"/>
    <cellStyle name="Normal 279 2" xfId="1382" xr:uid="{6C8DA64A-F953-447C-B244-10CA219D1462}"/>
    <cellStyle name="Normal 28" xfId="612" xr:uid="{DC6DACA7-1991-442E-99C3-34E11CD3392B}"/>
    <cellStyle name="Normal 28 2" xfId="613" xr:uid="{D6AB51D5-9655-479B-8B5C-834139E64929}"/>
    <cellStyle name="Normal 28 2 2" xfId="1383" xr:uid="{8C5A3067-F55F-48DC-82F2-3AAF0BA92071}"/>
    <cellStyle name="Normal 28 3" xfId="614" xr:uid="{9CBD3BA4-C936-40B0-92D0-BBA0C7F28831}"/>
    <cellStyle name="Normal 28 3 2" xfId="1384" xr:uid="{E04D0645-D1D8-4A0B-A88D-BE376CA2E904}"/>
    <cellStyle name="Normal 280" xfId="61" xr:uid="{90976DD2-6701-499B-A024-FEFBA816B867}"/>
    <cellStyle name="Normal 280 2" xfId="1385" xr:uid="{79727636-38FC-43D4-9B3C-65A234CC227C}"/>
    <cellStyle name="Normal 281" xfId="992" xr:uid="{B9BC3526-0456-4B78-90E5-2F81A2D169EC}"/>
    <cellStyle name="Normal 281 2" xfId="1386" xr:uid="{A68E6C09-AA31-4ABE-A882-E01D1C0FEC9F}"/>
    <cellStyle name="Normal 282" xfId="996" xr:uid="{F0E75AF6-4006-4925-8E89-91F29C71252E}"/>
    <cellStyle name="Normal 282 2" xfId="1387" xr:uid="{36F00236-7DA6-4FE5-8F39-A9A0F5630F8F}"/>
    <cellStyle name="Normal 283" xfId="1006" xr:uid="{51E5C9D2-9044-42D4-AA7A-C800A584EF20}"/>
    <cellStyle name="Normal 283 2" xfId="1388" xr:uid="{D0B3B1D2-651A-4273-9D3F-96F9E3F50EC3}"/>
    <cellStyle name="Normal 284" xfId="1013" xr:uid="{7054B285-98DA-4625-9D22-031CB67B0D08}"/>
    <cellStyle name="Normal 285" xfId="44" xr:uid="{694729C4-25D5-46A0-AAC3-EC29F7B2E960}"/>
    <cellStyle name="Normal 286" xfId="59" xr:uid="{9C59DAE0-DC21-42C3-B475-640101DEBB1F}"/>
    <cellStyle name="Normal 287" xfId="1723" xr:uid="{A03C4246-C1BD-4AB7-9611-A503ABACBB3E}"/>
    <cellStyle name="Normal 288" xfId="1754" xr:uid="{00A7DF07-2D05-4AFA-BF26-939638EC30A7}"/>
    <cellStyle name="Normal 289" xfId="1582" xr:uid="{6040115A-FBFE-42D3-852E-C597E674E2DF}"/>
    <cellStyle name="Normal 29" xfId="615" xr:uid="{8100BB14-A99B-4C16-A4A7-69385C5E8D68}"/>
    <cellStyle name="Normal 29 2" xfId="616" xr:uid="{5126C700-D3AB-4169-96FC-90483DF6DEF0}"/>
    <cellStyle name="Normal 29 2 2" xfId="1389" xr:uid="{F6D837B0-5EAF-4064-8F50-DD47D644BC19}"/>
    <cellStyle name="Normal 29 3" xfId="617" xr:uid="{8FF60601-3B30-40BD-8108-8B402FA7D550}"/>
    <cellStyle name="Normal 29 3 2" xfId="1390" xr:uid="{206EE391-069A-4A37-8000-251F8B86AF63}"/>
    <cellStyle name="Normal 290" xfId="1771" xr:uid="{C378F987-3862-4412-977D-2F60855879DE}"/>
    <cellStyle name="Normal 291" xfId="1588" xr:uid="{7CF8EAFB-8897-4477-ADA2-B512F5E8774B}"/>
    <cellStyle name="Normal 3" xfId="4" xr:uid="{4FC85681-7A0D-4515-BA4F-638B3652DF4F}"/>
    <cellStyle name="Normal 3 2" xfId="619" xr:uid="{0D8EF0B3-BB34-49F3-9FE4-173BE168CC2B}"/>
    <cellStyle name="Normal 3 2 2" xfId="620" xr:uid="{4DA527E6-B379-4ECD-9B37-1C96A448E5FC}"/>
    <cellStyle name="Normal 3 2 3" xfId="621" xr:uid="{55743A0E-938C-4730-98F4-7E88B4339E48}"/>
    <cellStyle name="Normal 3 2 4" xfId="622" xr:uid="{012AA8EF-5376-449E-A041-3CAB81468B0F}"/>
    <cellStyle name="Normal 3 2 4 2" xfId="1391" xr:uid="{2BD0EBB3-5990-4B48-A438-F80E1F6C8AB0}"/>
    <cellStyle name="Normal 3 3" xfId="623" xr:uid="{0E42A354-76A7-4401-B34D-BA4F8A09483C}"/>
    <cellStyle name="Normal 3 3 2" xfId="624" xr:uid="{37D7CDD9-AB07-4B4F-A913-4C2FAC1FD2CA}"/>
    <cellStyle name="Normal 3 4" xfId="625" xr:uid="{194BE955-4592-4A6A-A800-C96D8EF04144}"/>
    <cellStyle name="Normal 3 5" xfId="626" xr:uid="{74450DFC-8062-4924-9B64-D032E25019BD}"/>
    <cellStyle name="Normal 3 5 2" xfId="1392" xr:uid="{3538AE74-AFDA-4F5F-B644-639DA51F46C3}"/>
    <cellStyle name="Normal 3 6" xfId="627" xr:uid="{F4E8125E-FA6D-40FC-AC82-FED632D54EB6}"/>
    <cellStyle name="Normal 3 7" xfId="628" xr:uid="{90B22A10-B20B-46BF-A39C-ABEB6D745785}"/>
    <cellStyle name="Normal 3 7 2" xfId="1393" xr:uid="{763A6076-17BB-4354-B300-173585232A7F}"/>
    <cellStyle name="Normal 3 8" xfId="629" xr:uid="{E9B7B52A-1CFD-4AD6-A8E4-A41A208A066E}"/>
    <cellStyle name="Normal 3 9" xfId="618" xr:uid="{A2D3DA98-07F8-4832-B2D5-3943469911A5}"/>
    <cellStyle name="Normal 3 9 2" xfId="1394" xr:uid="{0524D9B1-E580-4E0F-92D1-53E1E0EC471D}"/>
    <cellStyle name="Normal 3_Corp Monthly Performance (Subscriber and Revenue) in Apr11" xfId="630" xr:uid="{F34EFC02-121D-4E7D-9AC0-8257E2806B70}"/>
    <cellStyle name="Normal 30" xfId="631" xr:uid="{52764AD1-E409-4702-B315-216751F7030E}"/>
    <cellStyle name="Normal 30 2" xfId="632" xr:uid="{3ED29D87-8795-463D-9425-1A4D56775C70}"/>
    <cellStyle name="Normal 30 2 2" xfId="1395" xr:uid="{8622D6DB-26BE-441D-92A2-FE55EBA774B9}"/>
    <cellStyle name="Normal 30 3" xfId="633" xr:uid="{31964CC1-C55D-44FC-81E9-E6CC490DFE33}"/>
    <cellStyle name="Normal 30 3 2" xfId="1396" xr:uid="{F9E82138-788B-487E-A716-7CD6E0F81EFD}"/>
    <cellStyle name="Normal 31" xfId="634" xr:uid="{027FD08D-C5FB-4184-8B81-999A95369C32}"/>
    <cellStyle name="Normal 31 2" xfId="635" xr:uid="{BAA444B6-FD6A-453E-B418-F772EB55F5DF}"/>
    <cellStyle name="Normal 31 2 2" xfId="1397" xr:uid="{2323C9CA-C2C3-4F3E-BB11-5E5217F1544D}"/>
    <cellStyle name="Normal 31 3" xfId="636" xr:uid="{40171BD6-1FB1-49D6-9A61-E19F3DE5B93D}"/>
    <cellStyle name="Normal 31 3 2" xfId="1398" xr:uid="{676FE812-3E78-4466-BED8-F1F988C4CFC4}"/>
    <cellStyle name="Normal 32" xfId="637" xr:uid="{5232C9F7-9D0B-443D-8107-9B31B206154F}"/>
    <cellStyle name="Normal 32 2" xfId="638" xr:uid="{49A3AC89-B3FB-4948-8425-98CAC97D4329}"/>
    <cellStyle name="Normal 32 2 2" xfId="1399" xr:uid="{DBF403E4-E3BE-49A3-95CB-67EA626EEC42}"/>
    <cellStyle name="Normal 33" xfId="639" xr:uid="{D38A7B9C-33D8-4A09-96E0-C9A9650141F5}"/>
    <cellStyle name="Normal 33 2" xfId="640" xr:uid="{B287EB58-2084-4971-B3AC-31E537CC4307}"/>
    <cellStyle name="Normal 34" xfId="641" xr:uid="{D5D7DF57-710E-446D-B6F4-222E3C7D4B48}"/>
    <cellStyle name="Normal 34 2" xfId="642" xr:uid="{B4084840-5B06-45A8-A2FE-6737ABF18E16}"/>
    <cellStyle name="Normal 34 2 2" xfId="1400" xr:uid="{E596C149-6707-4B86-9D0A-159FA961CE5F}"/>
    <cellStyle name="Normal 35" xfId="643" xr:uid="{B4B3FA95-2A08-40CF-87C6-A31049D6F230}"/>
    <cellStyle name="Normal 35 2" xfId="644" xr:uid="{E40D7BB9-FF31-41D5-B530-AF10EA36C570}"/>
    <cellStyle name="Normal 36" xfId="645" xr:uid="{0C29CF03-A9D7-4F6A-ACA0-402D83BEDEB2}"/>
    <cellStyle name="Normal 36 2" xfId="646" xr:uid="{3715F9D8-5BA0-432C-A6C4-EE94FACE9325}"/>
    <cellStyle name="Normal 37" xfId="647" xr:uid="{672A0E95-958D-484F-9D25-3FE393FAC8E7}"/>
    <cellStyle name="Normal 37 2" xfId="648" xr:uid="{AF8A7016-9CFA-4B8C-A760-8F8CC6172C96}"/>
    <cellStyle name="Normal 38" xfId="649" xr:uid="{6F2EE55B-9E8E-4563-AC01-DDE5B02D339B}"/>
    <cellStyle name="Normal 38 2" xfId="650" xr:uid="{824335CD-8FEE-4346-849A-EBD60B6FBD81}"/>
    <cellStyle name="Normal 39" xfId="651" xr:uid="{12E41967-EEEB-4B2B-A0CA-255772D41B3C}"/>
    <cellStyle name="Normal 39 2" xfId="652" xr:uid="{90F4D8E5-5465-4572-9197-0FE5C1B8281C}"/>
    <cellStyle name="Normal 4" xfId="653" xr:uid="{4852E3CD-6F31-47E6-8ACB-5AE54484F885}"/>
    <cellStyle name="Normal 4 2" xfId="654" xr:uid="{EB72D41C-966A-4CFC-9E3D-EF7443AB6F66}"/>
    <cellStyle name="Normal 4 2 2" xfId="655" xr:uid="{A67EF858-0DEF-46AC-AA59-D83288B156A0}"/>
    <cellStyle name="Normal 4 2 2 2" xfId="1401" xr:uid="{F1475C2D-3D40-494C-B74C-CDFE871935EF}"/>
    <cellStyle name="Normal 4 2 3" xfId="1402" xr:uid="{B056E28B-6A7E-4773-A6AA-5FA2AF45E0EB}"/>
    <cellStyle name="Normal 4 3" xfId="656" xr:uid="{1543B726-4361-475A-8ABC-A995778ACD0B}"/>
    <cellStyle name="Normal 4 4" xfId="657" xr:uid="{C8C0E5D2-CCBA-46CA-9E0D-A35D7280EB7E}"/>
    <cellStyle name="Normal 4 4 2" xfId="1403" xr:uid="{9466A41F-8A7B-4709-B1C9-05DFAE8E532E}"/>
    <cellStyle name="Normal 4 5" xfId="658" xr:uid="{1F69F687-1219-4633-AFF1-8E0B6C4A34D1}"/>
    <cellStyle name="Normal 4 6" xfId="1404" xr:uid="{DE051057-FE94-43C0-B340-CCAB0B545602}"/>
    <cellStyle name="Normal 40" xfId="659" xr:uid="{CEE04D4A-D51F-416D-8045-B4CBBB111419}"/>
    <cellStyle name="Normal 40 2" xfId="660" xr:uid="{123A822D-060C-4585-AB18-7021DAC2293E}"/>
    <cellStyle name="Normal 41" xfId="661" xr:uid="{C2590E40-4EE5-4B31-B8CA-6B7454EA2A57}"/>
    <cellStyle name="Normal 41 2" xfId="662" xr:uid="{AFE4D9F1-B9C9-44B8-8FB2-EAC5166AEE39}"/>
    <cellStyle name="Normal 42" xfId="663" xr:uid="{CC3A7A7D-2F7D-42E6-9900-07DA3949CC12}"/>
    <cellStyle name="Normal 42 2" xfId="664" xr:uid="{263BB40D-E874-4E6E-9572-693EEA369471}"/>
    <cellStyle name="Normal 43" xfId="665" xr:uid="{416B196A-898A-4C0C-9E85-3071558BC248}"/>
    <cellStyle name="Normal 43 2" xfId="666" xr:uid="{7E09DC41-4811-40FF-BB0C-CDA6188094DD}"/>
    <cellStyle name="Normal 44" xfId="667" xr:uid="{8A9EA829-1ADF-4F75-8AF1-6B5075A77F9E}"/>
    <cellStyle name="Normal 44 2" xfId="668" xr:uid="{4F004B9D-807D-4DFD-BB22-1A92D9A63B3E}"/>
    <cellStyle name="Normal 45" xfId="669" xr:uid="{CA98D811-01F0-44E7-AFB9-16B19D1501BB}"/>
    <cellStyle name="Normal 45 2" xfId="670" xr:uid="{E6B4F725-2951-4370-A1AC-4B0870E19751}"/>
    <cellStyle name="Normal 46" xfId="671" xr:uid="{AD0C7A4E-B336-4A4E-BB3A-378E2CC3B687}"/>
    <cellStyle name="Normal 46 2" xfId="672" xr:uid="{8D9DB1A7-88EE-4763-8C9E-DAA1466B9298}"/>
    <cellStyle name="Normal 47" xfId="673" xr:uid="{F0791DE2-A4C5-4239-A485-CC60A212E9CC}"/>
    <cellStyle name="Normal 47 2" xfId="674" xr:uid="{18B9C011-61BD-4C3E-885C-854B13D314EA}"/>
    <cellStyle name="Normal 48" xfId="675" xr:uid="{7703FDCE-C67A-437E-B0AD-6A307DED61D2}"/>
    <cellStyle name="Normal 48 2" xfId="676" xr:uid="{17C6BEDD-C200-43B8-BF0E-4EE4A6F58C2B}"/>
    <cellStyle name="Normal 49" xfId="677" xr:uid="{32F36183-2559-4E36-82C5-91CC432B5E60}"/>
    <cellStyle name="Normal 49 2" xfId="678" xr:uid="{BC4D7DE5-EF5B-4E70-A371-BC3599F9AB1B}"/>
    <cellStyle name="Normal 5" xfId="10" xr:uid="{E5C40E2A-00E4-4842-ACF5-0080E252BF56}"/>
    <cellStyle name="Normal 5 14" xfId="51" xr:uid="{D13E92EC-78BC-4923-856B-97449607F1D3}"/>
    <cellStyle name="Normal 5 2" xfId="680" xr:uid="{AC7EF77B-289F-411B-AB4C-A49C145A2376}"/>
    <cellStyle name="Normal 5 2 2" xfId="681" xr:uid="{88D90FBF-3438-455C-B0E6-9CC01A976240}"/>
    <cellStyle name="Normal 5 2 2 2" xfId="1405" xr:uid="{38D7D03B-1B4F-40FD-8E27-A992146273B5}"/>
    <cellStyle name="Normal 5 2 3" xfId="1406" xr:uid="{78739C12-90E5-4057-8F2E-2C706C7FA3CE}"/>
    <cellStyle name="Normal 5 3" xfId="682" xr:uid="{68C60BA8-C99B-4844-8BC7-5E3C8C79E0DA}"/>
    <cellStyle name="Normal 5 4" xfId="683" xr:uid="{BEA3B997-27B2-46A6-9C16-C5D6E321EAB7}"/>
    <cellStyle name="Normal 5 5" xfId="1407" xr:uid="{BAC412D6-655D-4DFF-B62D-505C01416934}"/>
    <cellStyle name="Normal 5 6" xfId="679" xr:uid="{9A3C8BAF-CD5D-48C7-831C-454E4D4E4BB7}"/>
    <cellStyle name="Normal 5_EDS Revenue Report (2011-05)" xfId="684" xr:uid="{7CF8724B-F5F9-4C54-9665-80461936407C}"/>
    <cellStyle name="Normal 50" xfId="685" xr:uid="{933FE3D9-32B3-4C36-922D-AB57CD51B650}"/>
    <cellStyle name="Normal 50 2" xfId="686" xr:uid="{81C8D6C1-C841-4F27-A3C6-173596DD9FFD}"/>
    <cellStyle name="Normal 51" xfId="687" xr:uid="{0E78F93F-14C1-4CA1-9C22-C949ED6E009B}"/>
    <cellStyle name="Normal 51 2" xfId="688" xr:uid="{E96B8E90-2C7D-46D1-A130-E3E9C376CD11}"/>
    <cellStyle name="Normal 52" xfId="689" xr:uid="{ED6B75C8-064C-4605-8DBA-51C258B3EAAA}"/>
    <cellStyle name="Normal 52 2" xfId="690" xr:uid="{05F047C4-D5C7-44AD-B9A9-2B2198310FA1}"/>
    <cellStyle name="Normal 53" xfId="691" xr:uid="{AC7CBA50-4BCA-426A-B61E-7F573A99BC93}"/>
    <cellStyle name="Normal 53 2" xfId="692" xr:uid="{DB100CCF-3DAB-4C1A-98B2-3620A50D8942}"/>
    <cellStyle name="Normal 54" xfId="693" xr:uid="{83B4A5EC-64DF-437B-921F-97AC16D90823}"/>
    <cellStyle name="Normal 54 2" xfId="694" xr:uid="{F9234CEB-12F4-4391-9A7F-D50CD3E59B4C}"/>
    <cellStyle name="Normal 55" xfId="695" xr:uid="{5F9D5F46-3664-47A6-8BAC-B7B28C5A7D62}"/>
    <cellStyle name="Normal 55 2" xfId="696" xr:uid="{E4778D0D-0C98-4BAF-9B04-76B6996FBDCB}"/>
    <cellStyle name="Normal 56" xfId="697" xr:uid="{658D7C4F-BA6B-4DDD-8A87-48E4851E6375}"/>
    <cellStyle name="Normal 56 2" xfId="698" xr:uid="{55BF7036-8695-4ECD-BA94-E24C90A44CAA}"/>
    <cellStyle name="Normal 57" xfId="699" xr:uid="{5B68B276-ABCB-4F5C-A578-E74B8617BEC3}"/>
    <cellStyle name="Normal 57 2" xfId="700" xr:uid="{EABA36E9-2FBF-4737-91BB-9BEF83DC954A}"/>
    <cellStyle name="Normal 58" xfId="701" xr:uid="{A4468429-D1D8-498A-98B5-954E040809BA}"/>
    <cellStyle name="Normal 58 2" xfId="702" xr:uid="{5A4FCFE6-3F23-4020-BACC-FF9FBBC3EE84}"/>
    <cellStyle name="Normal 59" xfId="703" xr:uid="{7BB09B6D-77F8-43FE-85CF-08BBA9EBCF95}"/>
    <cellStyle name="Normal 59 2" xfId="704" xr:uid="{EE0824D8-618E-45EC-952B-4A342E60D336}"/>
    <cellStyle name="Normal 6" xfId="705" xr:uid="{130B448C-F998-4235-85BD-B783C764D194}"/>
    <cellStyle name="Normal 6 2" xfId="706" xr:uid="{85C48154-39E1-4C3F-9D60-C5C3D8BB70F4}"/>
    <cellStyle name="Normal 6 2 2" xfId="1408" xr:uid="{E6FE6C3C-E4AD-48B0-8DC8-697BF350BEAA}"/>
    <cellStyle name="Normal 6 3" xfId="707" xr:uid="{00958094-AA17-45A3-9FEA-D07B4A0862E6}"/>
    <cellStyle name="Normal 60" xfId="708" xr:uid="{B584A8CA-EE71-4E38-8B92-AEDA08E47D9B}"/>
    <cellStyle name="Normal 60 2" xfId="709" xr:uid="{121E55EC-900D-40E0-AD7A-5D9AD079D0A1}"/>
    <cellStyle name="Normal 61" xfId="710" xr:uid="{4829BF49-009F-40C5-982C-C18A5772C637}"/>
    <cellStyle name="Normal 61 2" xfId="711" xr:uid="{989C35FF-6160-4050-A1E1-C1140B1E3386}"/>
    <cellStyle name="Normal 62" xfId="712" xr:uid="{508E33E4-F5B8-4B78-9D52-675D593712F3}"/>
    <cellStyle name="Normal 62 2" xfId="713" xr:uid="{D4E91F19-1DDD-42B5-AEB2-402D42A319B7}"/>
    <cellStyle name="Normal 62 3" xfId="1409" xr:uid="{A3F5751D-92C0-4160-85E4-67DC6B2CBEF2}"/>
    <cellStyle name="Normal 63" xfId="714" xr:uid="{805F2440-A496-43ED-B6D4-D148B431C33D}"/>
    <cellStyle name="Normal 63 2" xfId="715" xr:uid="{33E6D4BB-0A34-4157-ACB3-125C29EBA98D}"/>
    <cellStyle name="Normal 63 3" xfId="1410" xr:uid="{F5FFC8A8-7D10-4C1C-9B79-C463F4E770DB}"/>
    <cellStyle name="Normal 64" xfId="716" xr:uid="{6455B51B-1323-443F-8C01-08791AAA8CE8}"/>
    <cellStyle name="Normal 64 2" xfId="717" xr:uid="{F2AE42B4-9110-4BB9-BCFC-79287C634FE5}"/>
    <cellStyle name="Normal 64 3" xfId="1411" xr:uid="{DE2828AD-F640-4AE2-BB08-76A718194FFE}"/>
    <cellStyle name="Normal 65" xfId="718" xr:uid="{1535CB21-9C73-4F6B-8414-96025680D949}"/>
    <cellStyle name="Normal 65 2" xfId="719" xr:uid="{549711C1-DCC4-4450-B4A2-A62063BD8EE5}"/>
    <cellStyle name="Normal 65 3" xfId="1412" xr:uid="{62699817-2B47-4800-8966-9C281B3C60AC}"/>
    <cellStyle name="Normal 66" xfId="720" xr:uid="{8C831AB4-FAB8-446B-94BD-59AFFE34F9EF}"/>
    <cellStyle name="Normal 66 2" xfId="721" xr:uid="{97C24D9B-C6B6-4C16-B3A5-3F0F13B1D8A2}"/>
    <cellStyle name="Normal 66 3" xfId="1413" xr:uid="{F47BF04D-6414-4F09-9F55-FAF4F8EF48D0}"/>
    <cellStyle name="Normal 67" xfId="722" xr:uid="{546DB69D-D0DA-4446-94A2-C88731770D61}"/>
    <cellStyle name="Normal 67 2" xfId="723" xr:uid="{EDEE8364-D141-46B0-911C-B68016ED7B68}"/>
    <cellStyle name="Normal 67 3" xfId="1414" xr:uid="{278BBA64-CAD4-4CD7-AD8F-D78A4E1FECF3}"/>
    <cellStyle name="Normal 68" xfId="724" xr:uid="{AC3A9A03-E5C3-477E-A6C6-9E40991CE8F2}"/>
    <cellStyle name="Normal 68 2" xfId="725" xr:uid="{BDFEA357-8142-4443-96B4-F2118B89EA2F}"/>
    <cellStyle name="Normal 68 3" xfId="1415" xr:uid="{F74FBA79-14CC-4533-92B1-5AD8CD210D3F}"/>
    <cellStyle name="Normal 69" xfId="726" xr:uid="{A8434BD9-DEB5-4B52-B9AD-5CB5A982D981}"/>
    <cellStyle name="Normal 69 2" xfId="727" xr:uid="{9CD37653-8F24-4E7B-9318-E0CC66300365}"/>
    <cellStyle name="Normal 69 3" xfId="1416" xr:uid="{1178F770-C476-4D52-97CA-E149AB08181A}"/>
    <cellStyle name="Normal 7" xfId="728" xr:uid="{EB13ADB8-E135-45DE-A6A1-69D2043CA1A0}"/>
    <cellStyle name="Normal 7 2" xfId="729" xr:uid="{34C1F83E-3853-4957-A291-07F3C81665F1}"/>
    <cellStyle name="Normal 7 2 2" xfId="730" xr:uid="{9E985F8B-3AE0-4872-9C41-FED4EB16E1E7}"/>
    <cellStyle name="Normal 7 3" xfId="731" xr:uid="{0A8495F9-C8DC-42AA-B2A0-AE1A8BDA902C}"/>
    <cellStyle name="Normal 7 4" xfId="1417" xr:uid="{DB78D2B8-C24D-4350-ABF8-D05813B71889}"/>
    <cellStyle name="Normal 70" xfId="732" xr:uid="{C84B61B9-EAC4-49F9-94F7-AC7D22034B6D}"/>
    <cellStyle name="Normal 70 2" xfId="733" xr:uid="{DA00043C-799B-47C1-9412-6E4D68402B52}"/>
    <cellStyle name="Normal 70 3" xfId="1418" xr:uid="{5570C8EB-388A-4493-8CBE-3A8914C5FDA0}"/>
    <cellStyle name="Normal 71" xfId="734" xr:uid="{BC4B0EFE-1E6E-415A-923C-6A40B19FA039}"/>
    <cellStyle name="Normal 71 2" xfId="735" xr:uid="{2ECB46A1-3989-4390-91F9-4DF726486B8D}"/>
    <cellStyle name="Normal 71 3" xfId="1419" xr:uid="{4E0A7EEA-6465-4AA1-A419-E2143853B9A9}"/>
    <cellStyle name="Normal 72" xfId="736" xr:uid="{8CCE1322-DA0F-4C34-B8F5-FA14C433242B}"/>
    <cellStyle name="Normal 72 2" xfId="737" xr:uid="{4B969E43-14D7-470D-9519-C777D7D4EEBE}"/>
    <cellStyle name="Normal 72 3" xfId="1420" xr:uid="{8886C70B-1604-4E67-AFF3-CD933F2046B1}"/>
    <cellStyle name="Normal 73" xfId="738" xr:uid="{44C4A60E-C7A4-408E-A4FE-D079FF32996D}"/>
    <cellStyle name="Normal 73 2" xfId="1421" xr:uid="{C12D4C58-2518-4664-9823-8C2F28F4AF0F}"/>
    <cellStyle name="Normal 74" xfId="739" xr:uid="{11E2A4E7-10CD-4B54-993C-23788C8F06E3}"/>
    <cellStyle name="Normal 74 2" xfId="1422" xr:uid="{E2C0F470-DE0E-4307-8AE6-3855991F6131}"/>
    <cellStyle name="Normal 75" xfId="740" xr:uid="{ECA68422-F8F6-413E-A10F-7E2A7D529101}"/>
    <cellStyle name="Normal 75 2" xfId="1423" xr:uid="{76631620-CA75-47D6-AE07-8F1FF887D076}"/>
    <cellStyle name="Normal 76" xfId="741" xr:uid="{F4E42DA0-4EE9-4C7E-A823-70FDB8CDA523}"/>
    <cellStyle name="Normal 76 2" xfId="1424" xr:uid="{7CE48CDD-4E0A-4B8D-82B4-3586D20D6E76}"/>
    <cellStyle name="Normal 77" xfId="742" xr:uid="{9AC91E12-1B9E-4C1C-B011-A36E3242D3D7}"/>
    <cellStyle name="Normal 77 2" xfId="1425" xr:uid="{E27C9DE8-1E15-4FFF-9DCC-D979F530D3EC}"/>
    <cellStyle name="Normal 78" xfId="743" xr:uid="{6565462C-C755-41C1-844B-357B155287F4}"/>
    <cellStyle name="Normal 78 2" xfId="1426" xr:uid="{881006AF-9AFC-4FE3-885F-839764132D4F}"/>
    <cellStyle name="Normal 79" xfId="744" xr:uid="{5A22C786-1C85-4B15-985F-55D3F710D205}"/>
    <cellStyle name="Normal 79 2" xfId="1427" xr:uid="{18759CB2-6913-4329-A283-C0CD7E038E98}"/>
    <cellStyle name="Normal 8" xfId="745" xr:uid="{3084644D-3F16-49F5-B706-8E750AF61455}"/>
    <cellStyle name="Normal 8 2" xfId="746" xr:uid="{6E7F28BA-2C54-40F0-A655-0CFB322A7AB0}"/>
    <cellStyle name="Normal 8 2 2" xfId="1428" xr:uid="{597739B8-ECF1-42C3-9728-53E614C108F0}"/>
    <cellStyle name="Normal 8 3" xfId="747" xr:uid="{BD8B5932-313F-4937-9BD2-DB50D0F1918E}"/>
    <cellStyle name="Normal 8 3 2" xfId="1429" xr:uid="{B08E8319-5641-46E4-BA9C-193E6672ACB4}"/>
    <cellStyle name="Normal 8 4" xfId="1430" xr:uid="{032DF531-BEFD-42F7-B53B-E572AD09EFA3}"/>
    <cellStyle name="Normal 80" xfId="748" xr:uid="{BE7B3202-18C6-4FB1-8DA3-0CD0963E4ECF}"/>
    <cellStyle name="Normal 80 2" xfId="1431" xr:uid="{6ED5E7E0-1776-4C88-BA2C-BDB8B774564D}"/>
    <cellStyle name="Normal 81" xfId="749" xr:uid="{B3589922-0B3E-4F7B-8CC0-F28A16266D38}"/>
    <cellStyle name="Normal 81 2" xfId="1432" xr:uid="{E31A3A7C-70BE-4950-B81E-A1E8FB404A34}"/>
    <cellStyle name="Normal 82" xfId="750" xr:uid="{FA2442A7-37BB-4403-9F22-BFADF275C0BF}"/>
    <cellStyle name="Normal 82 2" xfId="1433" xr:uid="{3CC3A7F2-E636-4E8F-A65F-A518993E24C3}"/>
    <cellStyle name="Normal 83" xfId="751" xr:uid="{D184A8AF-7C1B-4323-991F-B949790DCDEC}"/>
    <cellStyle name="Normal 83 2" xfId="1434" xr:uid="{2A6A4CB0-0924-4E6C-B92B-00B8FCB218A2}"/>
    <cellStyle name="Normal 84" xfId="752" xr:uid="{5DB6C7C5-368D-4A5B-A9C1-EA4ADA1C5792}"/>
    <cellStyle name="Normal 84 2" xfId="1435" xr:uid="{571AED19-84AF-4E3B-9D25-5815AA1DBF1E}"/>
    <cellStyle name="Normal 85" xfId="753" xr:uid="{E3BD6E8D-6C7A-4CFE-8421-EDD4D8655730}"/>
    <cellStyle name="Normal 85 2" xfId="1436" xr:uid="{BAD6294A-F9A2-469A-B5AF-B37788959DE6}"/>
    <cellStyle name="Normal 86" xfId="754" xr:uid="{5760F610-EB30-4C6F-926C-C3D7297562DD}"/>
    <cellStyle name="Normal 86 2" xfId="1437" xr:uid="{3A6D714D-DAE2-44B6-B594-AFFB6A1D5806}"/>
    <cellStyle name="Normal 87" xfId="755" xr:uid="{50CC5009-45B2-4C2F-939C-7AC79C8B4F3D}"/>
    <cellStyle name="Normal 87 2" xfId="1438" xr:uid="{7985D76E-EEED-444C-B79E-F2D05F1CF546}"/>
    <cellStyle name="Normal 88" xfId="756" xr:uid="{6302F0ED-6220-45D6-8B89-99FDC47F6337}"/>
    <cellStyle name="Normal 88 2" xfId="1439" xr:uid="{B1177C4B-1584-4A18-958C-B26B04C56C18}"/>
    <cellStyle name="Normal 89" xfId="757" xr:uid="{36C539E0-FBC1-4F58-B867-A5EB6560434A}"/>
    <cellStyle name="Normal 89 2" xfId="1440" xr:uid="{280DBE3B-48C6-4F2E-BF64-EA86B765EED8}"/>
    <cellStyle name="Normal 9" xfId="758" xr:uid="{42F1FB0E-D37E-4F39-9824-7942A6C857E1}"/>
    <cellStyle name="Normal 9 2" xfId="759" xr:uid="{D8C54B4F-9203-4B76-A1AB-6EABCF16CFE9}"/>
    <cellStyle name="Normal 90" xfId="760" xr:uid="{7C1F20F4-B4E5-4525-88CB-84DC780A0021}"/>
    <cellStyle name="Normal 90 2" xfId="1441" xr:uid="{CFF455D6-7BE8-4D3C-A4F1-CEA099014405}"/>
    <cellStyle name="Normal 91" xfId="761" xr:uid="{565C271E-DD36-4D20-BD8E-11C559DEAA18}"/>
    <cellStyle name="Normal 91 2" xfId="1442" xr:uid="{AF97F660-C180-4F62-BE91-A89F02185255}"/>
    <cellStyle name="Normal 92" xfId="762" xr:uid="{EB56D566-2AA5-4077-A3F5-ECE08216023E}"/>
    <cellStyle name="Normal 92 2" xfId="1443" xr:uid="{ED3C44AF-A374-4E77-9A49-A98EEFDFE918}"/>
    <cellStyle name="Normal 93" xfId="763" xr:uid="{101DBE47-2E83-4DF0-9922-CFD85739A820}"/>
    <cellStyle name="Normal 93 2" xfId="1444" xr:uid="{998DF3F5-DADD-41DE-8A81-D1D04C6BECEB}"/>
    <cellStyle name="Normal 94" xfId="764" xr:uid="{58AA73FC-FEC0-4EF7-A826-04F062CF3BC3}"/>
    <cellStyle name="Normal 94 2" xfId="1445" xr:uid="{ACE17C1C-755C-42DB-9C74-BAE2E131E06B}"/>
    <cellStyle name="Normal 95" xfId="765" xr:uid="{9042B27D-8CAA-40B2-9206-A8357DD4FB9D}"/>
    <cellStyle name="Normal 95 2" xfId="1446" xr:uid="{DDFA2965-2A35-4B23-9379-FC8268BF51A1}"/>
    <cellStyle name="Normal 96" xfId="766" xr:uid="{E04AF4C7-BDB0-4DCD-930C-CF41DB70EAB4}"/>
    <cellStyle name="Normal 96 2" xfId="1447" xr:uid="{40F7D937-9CE9-49CE-8EFB-FCA5EB8CF855}"/>
    <cellStyle name="Normal 97" xfId="767" xr:uid="{91060705-A941-4FFB-8B23-A30A9B4D3A8D}"/>
    <cellStyle name="Normal 97 2" xfId="1448" xr:uid="{53CD7A38-4185-454E-8E73-82AE0629E293}"/>
    <cellStyle name="Normal 98" xfId="768" xr:uid="{1C57FC5C-0963-47E3-8D2F-BC6D42A58D21}"/>
    <cellStyle name="Normal 98 2" xfId="1449" xr:uid="{283F4E21-D508-491C-9A7F-F8F6F0FC0BF3}"/>
    <cellStyle name="Normal 99" xfId="769" xr:uid="{7F779699-9677-4C98-8812-2A0F55B4DD80}"/>
    <cellStyle name="Normal 99 2" xfId="1450" xr:uid="{9BECFD6A-CA07-494F-9C85-60F0EC7A71BF}"/>
    <cellStyle name="Normal_Brk down 4Q05" xfId="7" xr:uid="{9E5F604C-4330-4470-B3A4-EA190A74FBED}"/>
    <cellStyle name="Normalny_Arkusz1" xfId="770" xr:uid="{5FC197A6-45C4-468A-BA22-4799413B3377}"/>
    <cellStyle name="Note 2" xfId="771" xr:uid="{E0904D8E-D7BD-4BCD-BB7A-72D1797CA93A}"/>
    <cellStyle name="Note 2 2" xfId="772" xr:uid="{B0E96663-F17B-41A1-8CA8-95D6904A2797}"/>
    <cellStyle name="Note 2 2 2" xfId="1607" xr:uid="{514CF025-9AF3-4536-BE6F-180613C12AF3}"/>
    <cellStyle name="Note 2 2 3" xfId="1469" xr:uid="{A8770179-AB20-4ECC-AA39-D0FA54925999}"/>
    <cellStyle name="Note 2 2 4" xfId="1765" xr:uid="{2D0C5128-6EA0-4C52-B16B-E656E13D04E7}"/>
    <cellStyle name="Note 2 2 5" xfId="1508" xr:uid="{B0BBC98B-3171-4828-AA5D-51A85941602E}"/>
    <cellStyle name="Note 2 3" xfId="773" xr:uid="{31E3530E-CC64-4C3A-8FD8-8B04BFBE3BEF}"/>
    <cellStyle name="Note 2 3 2" xfId="1608" xr:uid="{6C91AFFA-40A8-41F1-AA46-0AD692432EF9}"/>
    <cellStyle name="Note 2 3 3" xfId="1791" xr:uid="{212C874B-B79F-4B84-964C-60E7FB49A3FF}"/>
    <cellStyle name="Note 2 3 4" xfId="1460" xr:uid="{D4B15874-E240-4827-BFC7-4B4634BA540E}"/>
    <cellStyle name="Note 2 3 5" xfId="1819" xr:uid="{7F7F7BD9-A76D-47AE-BFC4-7A5ABEC29E84}"/>
    <cellStyle name="Note 2 4" xfId="774" xr:uid="{A6E9007A-E7FC-45C2-BC65-A2A961BC33F5}"/>
    <cellStyle name="Note 2 4 2" xfId="1451" xr:uid="{7C8D5873-F614-4A5A-B221-AB96580738F3}"/>
    <cellStyle name="Note 3" xfId="775" xr:uid="{782C6CFE-4F61-4759-96C2-B019DDA77304}"/>
    <cellStyle name="Note 4" xfId="776" xr:uid="{F8785CFE-D10A-4F7A-ABBF-A8AC7513C4D9}"/>
    <cellStyle name="Note 4 2" xfId="1452" xr:uid="{628145D4-B489-48B5-86FE-7519B3165112}"/>
    <cellStyle name="Output" xfId="19" builtinId="21" customBuiltin="1"/>
    <cellStyle name="Output 2" xfId="777" xr:uid="{4BAD8498-21AA-4C3D-99FC-12CE0D0A64D7}"/>
    <cellStyle name="Output 2 2" xfId="778" xr:uid="{E0EBD4E4-0E90-4ED0-B2DB-E3DD1DA49494}"/>
    <cellStyle name="Output 2 2 2" xfId="1609" xr:uid="{33FD25AA-9A0F-4FC5-9ED7-F9BD01E4E567}"/>
    <cellStyle name="Output 2 2 3" xfId="1472" xr:uid="{BB9223A3-A123-4960-BD9F-291D841A90D5}"/>
    <cellStyle name="Output 2 2 4" xfId="1530" xr:uid="{924ECFA9-6CD9-49EF-976E-2891A506F504}"/>
    <cellStyle name="Output 2 3" xfId="779" xr:uid="{BC011CD0-C32F-40B0-9E20-1A17AF695FFD}"/>
    <cellStyle name="Output 2 3 2" xfId="1610" xr:uid="{B6B35492-D08B-47CB-A975-7A61CE219259}"/>
    <cellStyle name="Output 2 3 3" xfId="1559" xr:uid="{36D20B5F-6262-4762-B97D-2A0357DB2461}"/>
    <cellStyle name="Output 2 3 4" xfId="1626" xr:uid="{CF4C7B89-7D21-423B-AAE4-CE7574014308}"/>
    <cellStyle name="PctLine" xfId="780" xr:uid="{81A53CCC-08EC-4971-A69C-0EDF091E1D4D}"/>
    <cellStyle name="Percent" xfId="2" builtinId="5"/>
    <cellStyle name="Percent [2]" xfId="782" xr:uid="{F1CDF9E8-8ED6-488D-BC63-5D2713EBA5A4}"/>
    <cellStyle name="Percent [2] 2" xfId="783" xr:uid="{4C7F3D87-DB24-49D8-A44E-3F372BB666E9}"/>
    <cellStyle name="Percent 10" xfId="784" xr:uid="{0A073610-7EA8-451A-88AC-919B474F132D}"/>
    <cellStyle name="Percent 10 2" xfId="785" xr:uid="{6BFAE00A-3C93-4D29-9065-A53F3F6C2B95}"/>
    <cellStyle name="Percent 10 8" xfId="1005" xr:uid="{41000A95-8635-4C05-8F1B-D08CF14D76A9}"/>
    <cellStyle name="Percent 11" xfId="786" xr:uid="{27E05A57-DD4F-44C5-BC7E-42D9CC36A0E6}"/>
    <cellStyle name="Percent 12" xfId="787" xr:uid="{A95A04B8-77E3-4271-8444-1913C1F5EABF}"/>
    <cellStyle name="Percent 13" xfId="788" xr:uid="{539539AF-0ED0-4720-9769-B52463512772}"/>
    <cellStyle name="Percent 14" xfId="789" xr:uid="{D9854991-C5F2-45E5-A182-65EF68A1A7D9}"/>
    <cellStyle name="Percent 15" xfId="790" xr:uid="{DB62A58B-ABCF-4494-8000-C30789C75F28}"/>
    <cellStyle name="Percent 16" xfId="791" xr:uid="{23058052-1D87-48D8-978E-D7C137B2B1FB}"/>
    <cellStyle name="Percent 17" xfId="792" xr:uid="{7B608582-C0E8-4A43-8CAD-30C7BCAC3C76}"/>
    <cellStyle name="Percent 18" xfId="793" xr:uid="{CF8AD926-52F2-4F2D-B137-F35904C4F789}"/>
    <cellStyle name="Percent 19" xfId="794" xr:uid="{1F58418F-301A-4229-8C8F-EC029967CE64}"/>
    <cellStyle name="Percent 2" xfId="50" xr:uid="{0251CB54-EEFF-4CD1-84E5-B1F87DFDF82B}"/>
    <cellStyle name="Percent 2 2" xfId="54" xr:uid="{895A6108-1C5F-4175-8197-837A783111F3}"/>
    <cellStyle name="Percent 2 2 2" xfId="797" xr:uid="{7F2A23D0-431A-440B-8CA2-3E000F3A6D3F}"/>
    <cellStyle name="Percent 2 2 3" xfId="796" xr:uid="{6B589681-A0C3-470D-88CC-CE07C646941A}"/>
    <cellStyle name="Percent 2 3" xfId="798" xr:uid="{9AFD4D6F-7F84-41B0-AC2B-DE8E0054E8A4}"/>
    <cellStyle name="Percent 2 3 2" xfId="799" xr:uid="{EEFADCC7-1314-4C8F-9C0A-48316C241568}"/>
    <cellStyle name="Percent 2 3 3" xfId="800" xr:uid="{75948012-3C2D-4BA8-AB1E-EB4B8116EB20}"/>
    <cellStyle name="Percent 2 4" xfId="801" xr:uid="{C73E0006-0A5C-48EF-9533-AA036F143BCC}"/>
    <cellStyle name="Percent 2 4 2" xfId="802" xr:uid="{709DE57F-C2A6-4065-BF7C-7A5FD46FDEC3}"/>
    <cellStyle name="Percent 2 5" xfId="803" xr:uid="{29DFC111-6EE2-4DC4-92C6-32D09EE27CE2}"/>
    <cellStyle name="Percent 2 6" xfId="795" xr:uid="{C2513833-32A5-4E2E-B68E-F437BABA3F82}"/>
    <cellStyle name="Percent 2 7" xfId="979" xr:uid="{F7D1D197-66A5-43C0-AD7F-B586BDCA1E53}"/>
    <cellStyle name="Percent 2 8" xfId="998" xr:uid="{EF02328E-F232-435F-BBE9-2592114B0E67}"/>
    <cellStyle name="Percent 2 9" xfId="1453" xr:uid="{F0DF9FFE-7384-42A5-B68A-23117AB16FBB}"/>
    <cellStyle name="Percent 20" xfId="804" xr:uid="{81FF94DD-2E4C-4051-889B-00EB71744CE9}"/>
    <cellStyle name="Percent 21" xfId="805" xr:uid="{80A5BBDB-F6FC-4BDC-B3FD-3D9EC534330B}"/>
    <cellStyle name="Percent 22" xfId="806" xr:uid="{5D0EF5E3-A2E4-46DB-88D8-C4182B2CC25A}"/>
    <cellStyle name="Percent 23" xfId="807" xr:uid="{327A7283-ADAF-41CA-9BCD-AF43932167C1}"/>
    <cellStyle name="Percent 24" xfId="808" xr:uid="{DC97900A-A3E3-4A29-B66C-B4A8FC3A5ED1}"/>
    <cellStyle name="Percent 25" xfId="809" xr:uid="{54B070EF-B014-4D5A-ABB7-520A49105491}"/>
    <cellStyle name="Percent 26" xfId="810" xr:uid="{4480A0B3-A048-43E8-A665-0DCCC9095F86}"/>
    <cellStyle name="Percent 27" xfId="811" xr:uid="{84D48259-2C1C-4F10-8547-280F100F8A03}"/>
    <cellStyle name="Percent 28" xfId="812" xr:uid="{3C744A47-8555-4AC0-AA24-7554846EE3D1}"/>
    <cellStyle name="Percent 29" xfId="813" xr:uid="{AFEFC012-4AC8-4686-8D90-F745B380D67D}"/>
    <cellStyle name="Percent 3" xfId="6" xr:uid="{F0B4E371-EE1B-48E9-9956-7660AB09BB8D}"/>
    <cellStyle name="Percent 3 2" xfId="814" xr:uid="{C11BD581-7D3C-4168-88A7-403B0F6BE0E3}"/>
    <cellStyle name="Percent 3 3" xfId="815" xr:uid="{D8AE426D-47F1-43BD-9A24-160D98E88AD6}"/>
    <cellStyle name="Percent 3 4" xfId="816" xr:uid="{386BC281-67C1-447A-9C27-6E06FDC7434A}"/>
    <cellStyle name="Percent 3 5" xfId="817" xr:uid="{34DD44E0-C2A2-4ECA-91A2-3ACC91160E49}"/>
    <cellStyle name="Percent 30" xfId="818" xr:uid="{2A02B481-AA92-427C-AECF-3FC320FE4E09}"/>
    <cellStyle name="Percent 31" xfId="819" xr:uid="{7B1E4A58-8AF9-4E2C-B29F-217B568985A4}"/>
    <cellStyle name="Percent 32" xfId="820" xr:uid="{C5C1A28E-FEB3-4BE3-B937-1A8934EF5318}"/>
    <cellStyle name="Percent 33" xfId="821" xr:uid="{3542C63B-A806-4E22-A14E-127CA89CF37D}"/>
    <cellStyle name="Percent 34" xfId="822" xr:uid="{12B9B096-545D-4486-9D4D-DE05DC26DD71}"/>
    <cellStyle name="Percent 35" xfId="823" xr:uid="{7ACB361E-9D2C-4A34-9856-FBFD9EEF7A8F}"/>
    <cellStyle name="Percent 36" xfId="824" xr:uid="{2361C618-36C3-403A-A95C-5041FB525B3F}"/>
    <cellStyle name="Percent 37" xfId="825" xr:uid="{49D863D9-20DC-4A8D-BE94-9F9F6FEC44B3}"/>
    <cellStyle name="Percent 38" xfId="826" xr:uid="{77F8221B-60AD-4D79-9F5C-8E2FD2496656}"/>
    <cellStyle name="Percent 39" xfId="827" xr:uid="{74AC0903-CF1B-4EBB-9BDE-FBD2A6A1830F}"/>
    <cellStyle name="Percent 4" xfId="828" xr:uid="{B60EEFF4-3539-4DF3-943F-38DD49CCCBB5}"/>
    <cellStyle name="Percent 4 2" xfId="829" xr:uid="{E2F06472-60F0-4015-9128-3B25313E56DE}"/>
    <cellStyle name="Percent 4 3" xfId="830" xr:uid="{26F9288B-1649-432C-968A-D8EF9E068F65}"/>
    <cellStyle name="Percent 40" xfId="831" xr:uid="{B33D4287-825A-43C1-AD3C-D14B17997445}"/>
    <cellStyle name="Percent 41" xfId="832" xr:uid="{2364B3D0-9168-4736-8FFF-D57662EF43BD}"/>
    <cellStyle name="Percent 42" xfId="833" xr:uid="{426778E2-DF1C-44AB-BF15-4CCC6063EE3F}"/>
    <cellStyle name="Percent 43" xfId="834" xr:uid="{93827285-8972-49B5-A31F-F90C029F044B}"/>
    <cellStyle name="Percent 44" xfId="835" xr:uid="{7AF5536E-E9BB-46BB-8160-CDEBD3239ADD}"/>
    <cellStyle name="Percent 45" xfId="836" xr:uid="{6B315CA5-4F60-428D-AC1B-5674F5827B4E}"/>
    <cellStyle name="Percent 46" xfId="837" xr:uid="{64986E69-61C8-4076-AD0B-D74F6FFBF5B8}"/>
    <cellStyle name="Percent 47" xfId="838" xr:uid="{8CB0E270-5E15-4EE8-8B9F-13112DD5EEDD}"/>
    <cellStyle name="Percent 48" xfId="839" xr:uid="{F710F28C-085A-41F2-BF13-71E5A5B1D479}"/>
    <cellStyle name="Percent 49" xfId="781" xr:uid="{33887646-19F2-4A01-8F2C-F7A4D4AFC93D}"/>
    <cellStyle name="Percent 5" xfId="840" xr:uid="{4A7784FE-547B-4349-ADD9-4044C511B266}"/>
    <cellStyle name="Percent 5 2" xfId="841" xr:uid="{4D7EFAC1-666F-4E07-A7B5-60C516B28BE8}"/>
    <cellStyle name="Percent 5 3" xfId="842" xr:uid="{7F76BC1C-41F1-49D3-9E73-7215D7CBAFBD}"/>
    <cellStyle name="Percent 50" xfId="993" xr:uid="{CE1D57F6-F635-41CC-A0CC-C9EAC6932080}"/>
    <cellStyle name="Percent 50 2" xfId="1454" xr:uid="{1DE9DB1F-B838-4D99-A773-7511ADF9D8A6}"/>
    <cellStyle name="Percent 51" xfId="1004" xr:uid="{B626F1FC-F007-4922-BEFC-5756B9B58EF9}"/>
    <cellStyle name="Percent 51 2" xfId="1455" xr:uid="{4FB7E075-1FF8-4DB9-BC0D-12D66363F556}"/>
    <cellStyle name="Percent 52" xfId="1015" xr:uid="{16C99219-4BFA-4FE3-AE3C-8C3534014BDA}"/>
    <cellStyle name="Percent 53" xfId="47" xr:uid="{68F717B7-5D22-4C55-815E-8CAD04BAB7ED}"/>
    <cellStyle name="Percent 54" xfId="348" xr:uid="{69935EF2-68DB-4613-A11F-1875FA2FEA53}"/>
    <cellStyle name="Percent 55" xfId="1721" xr:uid="{8CB095C0-8D8E-47A0-8844-95EE22AB7ACA}"/>
    <cellStyle name="Percent 56" xfId="1518" xr:uid="{198D2154-A6F8-4042-96E8-4D3CFA48F305}"/>
    <cellStyle name="Percent 57" xfId="1581" xr:uid="{A289BCBA-0C9B-4F4C-AE1B-FA42FF2825A8}"/>
    <cellStyle name="Percent 58" xfId="1590" xr:uid="{68BDBAC7-5E58-43F7-ACE2-33879249DA41}"/>
    <cellStyle name="Percent 59" xfId="1787" xr:uid="{4D6FFBEE-B8FA-47CB-B0D6-A7C1C67628F2}"/>
    <cellStyle name="Percent 6" xfId="843" xr:uid="{524B0930-2781-4653-9671-C326DF999129}"/>
    <cellStyle name="Percent 6 2" xfId="844" xr:uid="{54ABC730-C222-46C6-9806-C538C8F36876}"/>
    <cellStyle name="Percent 7" xfId="845" xr:uid="{E8FBE53C-DC3C-4E76-99D7-CCF5019EA9A3}"/>
    <cellStyle name="Percent 7 2" xfId="846" xr:uid="{947401EE-3F97-4E96-9DB5-A67F75CFA4A2}"/>
    <cellStyle name="Percent 8" xfId="847" xr:uid="{2984A1B9-DCD8-4FC9-BDF7-CC4BDE93461F}"/>
    <cellStyle name="Percent 8 2" xfId="848" xr:uid="{8350F520-120F-4599-BA9A-25D4D2517303}"/>
    <cellStyle name="Percent 9" xfId="849" xr:uid="{F51552E5-3863-45EC-9FE2-BD96959306E5}"/>
    <cellStyle name="Percent 9 2" xfId="850" xr:uid="{823FD2B9-4E1D-4296-8D24-F0C6D653B9A5}"/>
    <cellStyle name="Percent 9 2 2" xfId="980" xr:uid="{9257A0C4-2AC2-49E8-ACBD-A5059B4EF01D}"/>
    <cellStyle name="Percent 9 2 2 2" xfId="1456" xr:uid="{2CD27F94-DF2A-4588-84F3-A3ACB36A5CD7}"/>
    <cellStyle name="Prefilled" xfId="851" xr:uid="{CCDE076E-721B-44D5-9F9E-810DDC942A2A}"/>
    <cellStyle name="Prefilled 2" xfId="852" xr:uid="{FC330AC1-AE6D-4FB1-AFD8-8F8682F747DA}"/>
    <cellStyle name="Prefilled 2 2" xfId="1774" xr:uid="{0D804F69-935D-4966-97E6-9B14CF320936}"/>
    <cellStyle name="Prefilled 2 3" xfId="1611" xr:uid="{A24B7450-C78D-46DC-8F27-85EBC330D82B}"/>
    <cellStyle name="Prefilled 3" xfId="1540" xr:uid="{4389AED5-4035-4FFA-AE09-71D0EEDA1B4D}"/>
    <cellStyle name="Prefilled 4" xfId="1708" xr:uid="{6707EACE-FC88-431B-930A-160D55DCBDC8}"/>
    <cellStyle name="Quantity" xfId="853" xr:uid="{3794857F-B98C-4326-8F0E-04C5E4711CA2}"/>
    <cellStyle name="Quantity 10" xfId="994" xr:uid="{4D78112F-5549-445F-8036-EBA16CBEC95D}"/>
    <cellStyle name="Quantity 2" xfId="854" xr:uid="{C5EC6910-13C3-4F14-8482-C93D899C8A8D}"/>
    <cellStyle name="Quantity 2 2" xfId="855" xr:uid="{D8CD78BE-9895-402B-9908-471CD166870D}"/>
    <cellStyle name="Quantity 2 2 2" xfId="1628" xr:uid="{6297A50C-10CE-4E86-8939-5F467ACABFB5}"/>
    <cellStyle name="Quantity 2 3" xfId="856" xr:uid="{5AF7F365-3383-4490-9656-F2D226D00584}"/>
    <cellStyle name="Quantity 2 3 2" xfId="1629" xr:uid="{8571CAD9-D238-4A30-966D-722FFD757A44}"/>
    <cellStyle name="Quantity 2 4" xfId="857" xr:uid="{EE093D5F-9615-484E-A418-308CDD06FDDD}"/>
    <cellStyle name="Quantity 2 4 2" xfId="1630" xr:uid="{1961C97D-11B4-4349-8FFA-AF16EF005C8B}"/>
    <cellStyle name="Quantity 2 5" xfId="858" xr:uid="{2900D6A7-58FD-4CAE-A30C-7C6B484AF660}"/>
    <cellStyle name="Quantity 2 5 2" xfId="1631" xr:uid="{EBAB7902-B0A8-4B1E-B0F9-C131E3F0337D}"/>
    <cellStyle name="Quantity 2 6" xfId="859" xr:uid="{1EA18225-191B-436F-8A09-CB76C52EC43C}"/>
    <cellStyle name="Quantity 2 6 2" xfId="1632" xr:uid="{093D6BBF-515B-4F69-AAB8-7602C4DB4D99}"/>
    <cellStyle name="Quantity 2 7" xfId="860" xr:uid="{9CBBB2C9-6C0D-479D-A7D1-54AA45CB7825}"/>
    <cellStyle name="Quantity 2 7 2" xfId="1633" xr:uid="{18ED259E-2997-4F95-BF8E-39C4DDF5482C}"/>
    <cellStyle name="Quantity 2 8" xfId="1627" xr:uid="{FD2A0139-340E-427D-B0F8-33D7E48E8FD0}"/>
    <cellStyle name="Quantity 3" xfId="861" xr:uid="{8625BDDC-3458-4BE7-8D99-16E31DD5AC3F}"/>
    <cellStyle name="Quantity 3 2" xfId="1634" xr:uid="{AD71413B-6A81-46F7-894B-9D1A56B2E393}"/>
    <cellStyle name="Quantity 4" xfId="862" xr:uid="{530CCD44-0A84-495F-8D36-26EFD8B7799F}"/>
    <cellStyle name="Quantity 4 2" xfId="1635" xr:uid="{E0E34EA8-D022-460E-BEAE-3CF980D5D0E2}"/>
    <cellStyle name="Quantity 5" xfId="863" xr:uid="{1DF7B109-37EB-46B5-9E94-3ADD130B0698}"/>
    <cellStyle name="Quantity 5 2" xfId="1636" xr:uid="{05E7A873-3033-439A-820B-3C1F98D221BE}"/>
    <cellStyle name="Quantity 6" xfId="864" xr:uid="{AF4DEAA6-5A4C-42C7-AB82-16835CF294A7}"/>
    <cellStyle name="Quantity 6 2" xfId="1637" xr:uid="{A520B71A-FCB9-4337-92B7-571E7B4A230C}"/>
    <cellStyle name="Quantity 7" xfId="865" xr:uid="{D352510C-A0D4-40EA-BF64-347453F32A3E}"/>
    <cellStyle name="Quantity 7 2" xfId="1638" xr:uid="{9A5F00EA-BA0C-4C78-9712-F8D03AB0F381}"/>
    <cellStyle name="Quantity 8" xfId="866" xr:uid="{DF6329A8-355F-404F-9FD3-B1386B20D7B2}"/>
    <cellStyle name="Quantity 8 2" xfId="1639" xr:uid="{A71245C8-AC88-4E46-A006-B0F787CC3A5A}"/>
    <cellStyle name="Quantity 9" xfId="867" xr:uid="{9252D773-84FC-4E90-9D01-E97F6E142B7E}"/>
    <cellStyle name="Quantity 9 2" xfId="1640" xr:uid="{0060B3E3-6DE2-4176-A3CE-AFECF9FE75EF}"/>
    <cellStyle name="SAPBEXaggData" xfId="868" xr:uid="{9FD0D93A-0A14-4A1F-A1EC-760CB2075A55}"/>
    <cellStyle name="SAPBEXaggData 2" xfId="1641" xr:uid="{53A81671-FAC4-410B-AFE5-4B12B1EAA833}"/>
    <cellStyle name="SAPBEXaggData 3" xfId="1560" xr:uid="{8B709C4D-DA12-4E0C-8D00-D5A4C3849D87}"/>
    <cellStyle name="SAPBEXaggData 4" xfId="1612" xr:uid="{586D823A-1243-404F-84CC-B335105B4A6F}"/>
    <cellStyle name="SAPBEXaggDataEmph" xfId="869" xr:uid="{C011A462-42C6-4EC6-A669-F5C4CFC0DFE2}"/>
    <cellStyle name="SAPBEXaggDataEmph 2" xfId="1642" xr:uid="{332B1C13-8570-4BB9-A795-A3D8633F5199}"/>
    <cellStyle name="SAPBEXaggDataEmph 3" xfId="1489" xr:uid="{91F1A97D-BD2B-42F0-9601-A88292708704}"/>
    <cellStyle name="SAPBEXaggDataEmph 4" xfId="1505" xr:uid="{A92F2ACE-3EC5-410F-88C9-150C5B0B6792}"/>
    <cellStyle name="SAPBEXaggItem" xfId="870" xr:uid="{36675CFA-0E60-4FDD-B952-95EB12B83A57}"/>
    <cellStyle name="SAPBEXaggItem 2" xfId="1643" xr:uid="{4C19F741-48F9-4B55-81BD-2D90976A65E8}"/>
    <cellStyle name="SAPBEXaggItem 3" xfId="1792" xr:uid="{2EFA44B3-C646-48CC-9778-490E52C62377}"/>
    <cellStyle name="SAPBEXaggItem 4" xfId="1732" xr:uid="{6AFC2B15-C79C-479E-94A5-E8ED1015CA13}"/>
    <cellStyle name="SAPBEXaggItemX" xfId="871" xr:uid="{422D6100-75D8-4F64-9263-F5A049CB7AF2}"/>
    <cellStyle name="SAPBEXaggItemX 2" xfId="1644" xr:uid="{F8957D24-2E9C-4C39-8F9B-2F04E9ED18B8}"/>
    <cellStyle name="SAPBEXaggItemX 3" xfId="1490" xr:uid="{45B80D60-F53E-4E80-A613-2DAAB15A9943}"/>
    <cellStyle name="SAPBEXaggItemX 4" xfId="1531" xr:uid="{6487FF59-E14E-4D4F-89FB-704CFE5BFBE4}"/>
    <cellStyle name="SAPBEXchaText" xfId="872" xr:uid="{E47295C5-C725-492C-A8D0-76F8169B4ADE}"/>
    <cellStyle name="SAPBEXchaText 2" xfId="873" xr:uid="{73F49871-ED47-4E26-9C58-F03713553C14}"/>
    <cellStyle name="SAPBEXchaText 3" xfId="874" xr:uid="{7B6A4C05-2B8A-4147-9035-29EB63CCF14C}"/>
    <cellStyle name="SAPBEXchaText 4" xfId="1645" xr:uid="{54116B92-80B3-4666-A7C8-3ACF69E1A9F0}"/>
    <cellStyle name="SAPBEXchaText 5" xfId="1561" xr:uid="{BCE126D3-C315-42EE-A54B-9530F4C5D7D8}"/>
    <cellStyle name="SAPBEXchaText 6" xfId="1613" xr:uid="{457AE7A6-DAEE-4F72-BB51-249796A387CD}"/>
    <cellStyle name="SAPBEXexcBad7" xfId="875" xr:uid="{D320E493-F69F-4EA1-9435-F4E5F2F951A0}"/>
    <cellStyle name="SAPBEXexcBad7 2" xfId="1647" xr:uid="{17850D80-1763-4E62-ABB0-EA734726B6E9}"/>
    <cellStyle name="SAPBEXexcBad7 3" xfId="1492" xr:uid="{B72052B4-B0B6-43E5-86FD-1EBE72FBFC8A}"/>
    <cellStyle name="SAPBEXexcBad7 4" xfId="1583" xr:uid="{5E4E658D-96EE-4D89-89CA-2381BE10AE50}"/>
    <cellStyle name="SAPBEXexcBad8" xfId="876" xr:uid="{9963EEF0-AC5B-4E05-AE62-9BF0CEB86A92}"/>
    <cellStyle name="SAPBEXexcBad8 2" xfId="1648" xr:uid="{BE64FE91-1C36-49DB-9A79-FBB80A691807}"/>
    <cellStyle name="SAPBEXexcBad8 3" xfId="1562" xr:uid="{DC854A5B-544D-423B-A146-3C8F067EBDCB}"/>
    <cellStyle name="SAPBEXexcBad8 4" xfId="1614" xr:uid="{13D36FA2-0AB2-4A1F-9F8B-393A5EDE7328}"/>
    <cellStyle name="SAPBEXexcBad9" xfId="877" xr:uid="{3C6D1881-3641-4A93-9CC6-E42348ADF705}"/>
    <cellStyle name="SAPBEXexcBad9 2" xfId="1649" xr:uid="{7085DA23-35DF-4607-A580-FBF36DCA0D0F}"/>
    <cellStyle name="SAPBEXexcBad9 3" xfId="1493" xr:uid="{4557CBD3-321E-4E18-B76D-10C90F81DC24}"/>
    <cellStyle name="SAPBEXexcBad9 4" xfId="1766" xr:uid="{E20EE482-8CFE-4867-BF2E-4143B1A5E9E5}"/>
    <cellStyle name="SAPBEXexcCritical4" xfId="878" xr:uid="{1FC6D4AA-7C52-493D-AB92-43192A910C5A}"/>
    <cellStyle name="SAPBEXexcCritical4 2" xfId="1650" xr:uid="{1B255D21-A2EF-4BAD-B9D2-6CE52720DC5B}"/>
    <cellStyle name="SAPBEXexcCritical4 3" xfId="1793" xr:uid="{38C1B7E4-D853-46A6-BDA3-3B82C50AB880}"/>
    <cellStyle name="SAPBEXexcCritical4 4" xfId="1748" xr:uid="{5D4A38EB-2768-466A-A5E9-1676FCB2C3B0}"/>
    <cellStyle name="SAPBEXexcCritical5" xfId="879" xr:uid="{41AB1A10-F5FA-460A-A96D-03CF3CEE0746}"/>
    <cellStyle name="SAPBEXexcCritical5 2" xfId="1651" xr:uid="{722BC4E6-7C4E-4189-AC47-7357F80F05B0}"/>
    <cellStyle name="SAPBEXexcCritical5 3" xfId="1494" xr:uid="{B10EC007-847F-41A3-9B9D-23C9524A214A}"/>
    <cellStyle name="SAPBEXexcCritical5 4" xfId="1532" xr:uid="{373C975A-741E-4E8A-A5A6-94B8CF90B9E0}"/>
    <cellStyle name="SAPBEXexcCritical6" xfId="880" xr:uid="{B44C9C74-F250-4051-9B71-4C80A4474C23}"/>
    <cellStyle name="SAPBEXexcCritical6 2" xfId="1652" xr:uid="{F751950B-8700-4153-9254-12C486DFA399}"/>
    <cellStyle name="SAPBEXexcCritical6 3" xfId="1563" xr:uid="{8171E75A-4051-471D-ADE8-F9A5A8D649AF}"/>
    <cellStyle name="SAPBEXexcCritical6 4" xfId="1646" xr:uid="{80A093C8-0DF7-49B5-8DBB-EE8C0DEED7FC}"/>
    <cellStyle name="SAPBEXexcGood1" xfId="881" xr:uid="{AF0A3EEF-C8FC-47CB-BC4F-7505190398D2}"/>
    <cellStyle name="SAPBEXexcGood1 2" xfId="1653" xr:uid="{79A9FF84-00DB-4667-B9F3-81BF8F3AB82F}"/>
    <cellStyle name="SAPBEXexcGood1 3" xfId="1495" xr:uid="{8D898F7A-EF11-47CE-9E45-A32AE9C9C423}"/>
    <cellStyle name="SAPBEXexcGood1 4" xfId="1533" xr:uid="{7BDD743A-BA7F-4EFA-91B4-731B7BED1249}"/>
    <cellStyle name="SAPBEXexcGood2" xfId="882" xr:uid="{1B771435-0CF2-456F-8FD6-BF9CE9595F72}"/>
    <cellStyle name="SAPBEXexcGood2 2" xfId="1654" xr:uid="{350C6FCE-8C6C-45BF-BE3A-4B0A53DE6075}"/>
    <cellStyle name="SAPBEXexcGood2 3" xfId="1794" xr:uid="{44D0CB82-0CD5-4B4C-9B29-FFD2A53C5303}"/>
    <cellStyle name="SAPBEXexcGood2 4" xfId="1513" xr:uid="{ADCE2847-5FC4-48E4-9097-EDA3D090AD12}"/>
    <cellStyle name="SAPBEXexcGood3" xfId="883" xr:uid="{3E385DDF-5829-4EB5-B755-2F3A9C512BAF}"/>
    <cellStyle name="SAPBEXexcGood3 2" xfId="1655" xr:uid="{7B8E78F9-F660-4844-8046-42C1EC84CFE6}"/>
    <cellStyle name="SAPBEXexcGood3 3" xfId="1496" xr:uid="{C162D026-2972-4E4A-9CFB-474C53E41117}"/>
    <cellStyle name="SAPBEXexcGood3 4" xfId="1749" xr:uid="{2E21CB9E-2EB7-457B-8DF3-B092B8E066C9}"/>
    <cellStyle name="SAPBEXfilterDrill" xfId="884" xr:uid="{A81CBFB9-C103-46C8-AD17-EEA5D9F25DB1}"/>
    <cellStyle name="SAPBEXfilterDrill 2" xfId="885" xr:uid="{C55E954B-83DE-4149-A91F-519DDAF101C2}"/>
    <cellStyle name="SAPBEXfilterDrill 3" xfId="886" xr:uid="{A00933F4-C1AC-4207-9D10-92938E812447}"/>
    <cellStyle name="SAPBEXfilterDrill 4" xfId="1656" xr:uid="{7A1F33BD-B9D2-469D-B795-CD925C3BAA78}"/>
    <cellStyle name="SAPBEXfilterDrill 5" xfId="1564" xr:uid="{7E21D9EB-52C8-4409-A82B-D751E644EE87}"/>
    <cellStyle name="SAPBEXfilterDrill 6" xfId="1615" xr:uid="{7312B94B-E019-443B-BB24-6729D9D2DB4A}"/>
    <cellStyle name="SAPBEXfilterItem" xfId="887" xr:uid="{25306880-B228-4B1B-A794-7CDB41542E27}"/>
    <cellStyle name="SAPBEXfilterItem 2" xfId="1616" xr:uid="{1A61BF17-B9AC-4508-9410-CB3DE47EDEDD}"/>
    <cellStyle name="SAPBEXfilterText" xfId="888" xr:uid="{1CB8F372-0F56-4106-B294-CFC4256D4EA9}"/>
    <cellStyle name="SAPBEXformats" xfId="889" xr:uid="{D0CE9DBF-2FA5-4C84-9519-1D628984C492}"/>
    <cellStyle name="SAPBEXformats 2" xfId="1657" xr:uid="{AB793C9C-091E-47B2-8437-4A33A90D3779}"/>
    <cellStyle name="SAPBEXformats 3" xfId="1565" xr:uid="{471DFDA9-EFB0-4E3B-B442-C6F0BBE4BF59}"/>
    <cellStyle name="SAPBEXformats 4" xfId="1739" xr:uid="{83278F6F-6000-4759-8AFC-4A8B2C856142}"/>
    <cellStyle name="SAPBEXheaderItem" xfId="890" xr:uid="{372C7477-C835-4B52-998A-D783F3AA0A1E}"/>
    <cellStyle name="SAPBEXheaderItem 2" xfId="891" xr:uid="{2A8BB03C-6E8C-480C-A4EA-098909632ACB}"/>
    <cellStyle name="SAPBEXheaderItem 3" xfId="892" xr:uid="{6D03A5CE-FF45-42E6-985D-DC1F759EEA49}"/>
    <cellStyle name="SAPBEXheaderItem 4" xfId="1658" xr:uid="{A9CDB8C3-93FB-4635-896B-D1374BF6EA1C}"/>
    <cellStyle name="SAPBEXheaderItem 5" xfId="1497" xr:uid="{66A84EA3-DE2B-44C2-8E8A-762FE70CEDCE}"/>
    <cellStyle name="SAPBEXheaderItem 6" xfId="1584" xr:uid="{472D209C-06C1-4B76-A8F0-CAFDE43C9D7F}"/>
    <cellStyle name="SAPBEXheaderText" xfId="893" xr:uid="{268A89BF-CBD0-4AC6-BA4A-BC30A5F8612A}"/>
    <cellStyle name="SAPBEXheaderText 2" xfId="894" xr:uid="{2DC3E91A-9211-4390-A308-821AAE35DD06}"/>
    <cellStyle name="SAPBEXheaderText 3" xfId="895" xr:uid="{70EC8880-146E-4D09-9A6D-8A60B32BDFE8}"/>
    <cellStyle name="SAPBEXheaderText 4" xfId="1660" xr:uid="{7F373CD8-97A5-4DCD-AD94-C8FEFE98343F}"/>
    <cellStyle name="SAPBEXheaderText 5" xfId="1566" xr:uid="{DC4A7145-D597-4022-87CD-C272A9C623A7}"/>
    <cellStyle name="SAPBEXheaderText 6" xfId="1733" xr:uid="{D4AA715A-25D1-4135-A124-BCC46D8450DF}"/>
    <cellStyle name="SAPBEXHLevel0" xfId="896" xr:uid="{10779F42-AE72-4D18-A50E-BB22EF7A14E7}"/>
    <cellStyle name="SAPBEXHLevel0 2" xfId="1662" xr:uid="{F6CF3E80-F8E0-4CDE-8B5C-9E6F4DE72A53}"/>
    <cellStyle name="SAPBEXHLevel0 3" xfId="1729" xr:uid="{A50DD317-8741-4862-92B9-0D25CFDEA0D6}"/>
    <cellStyle name="SAPBEXHLevel0 4" xfId="1724" xr:uid="{C208375D-5256-4374-ABDB-A10F8B542899}"/>
    <cellStyle name="SAPBEXHLevel0X" xfId="897" xr:uid="{B41E1782-6D2B-40B0-9F09-8D247717B49A}"/>
    <cellStyle name="SAPBEXHLevel0X 2" xfId="1663" xr:uid="{0A04EA50-5C2D-4AA7-A39D-B83B861676D8}"/>
    <cellStyle name="SAPBEXHLevel0X 3" xfId="1459" xr:uid="{3C1DAD8A-E742-4DF2-9D00-EAB5F8F539EF}"/>
    <cellStyle name="SAPBEXHLevel0X 4" xfId="1544" xr:uid="{A41FD908-3169-44C8-9399-2CD4C00E6A06}"/>
    <cellStyle name="SAPBEXHLevel1" xfId="898" xr:uid="{D756097E-4347-478A-B64A-F608D355C9F7}"/>
    <cellStyle name="SAPBEXHLevel1 2" xfId="1664" xr:uid="{196A62DA-0E78-4211-9D9F-A92A27F3B3FE}"/>
    <cellStyle name="SAPBEXHLevel1 3" xfId="1736" xr:uid="{0B46A98D-7035-4BFC-BA4F-1C9FDC2E8975}"/>
    <cellStyle name="SAPBEXHLevel1 4" xfId="1585" xr:uid="{C1AB4C17-DD35-4D9E-A2E9-CD11615652DB}"/>
    <cellStyle name="SAPBEXHLevel1X" xfId="899" xr:uid="{EAE4FA68-B8A4-415B-B9F4-33F23ED14E99}"/>
    <cellStyle name="SAPBEXHLevel1X 2" xfId="1665" xr:uid="{5466C0E3-8797-4568-96AE-2481FB9922FE}"/>
    <cellStyle name="SAPBEXHLevel1X 3" xfId="1797" xr:uid="{B648B7F2-D332-4628-921B-864BD54506CF}"/>
    <cellStyle name="SAPBEXHLevel1X 4" xfId="1617" xr:uid="{C1141FCA-832D-40AB-B206-BA6940300B1A}"/>
    <cellStyle name="SAPBEXHLevel2" xfId="900" xr:uid="{9785C091-0C8F-45F8-8DB4-17370FB46258}"/>
    <cellStyle name="SAPBEXHLevel2 2" xfId="1666" xr:uid="{177F88E3-7C12-444D-ACF4-37EBBBAF8A74}"/>
    <cellStyle name="SAPBEXHLevel2 3" xfId="1498" xr:uid="{49DB0CA0-1239-43C8-B9A1-68B052295FD8}"/>
    <cellStyle name="SAPBEXHLevel2 4" xfId="1534" xr:uid="{01F99DD6-0066-4AF0-B8ED-6BC931F9534E}"/>
    <cellStyle name="SAPBEXHLevel2X" xfId="901" xr:uid="{1E99659C-6C6E-42F3-8C84-282C531E694B}"/>
    <cellStyle name="SAPBEXHLevel2X 2" xfId="1667" xr:uid="{4DA5B590-36AD-4CE6-BC12-046173157248}"/>
    <cellStyle name="SAPBEXHLevel2X 3" xfId="1727" xr:uid="{AC5198EE-DB24-4A4B-9D6F-AEF34367E91E}"/>
    <cellStyle name="SAPBEXHLevel2X 4" xfId="1516" xr:uid="{BDEB9ABA-9B52-4FDA-AECE-0131CC9B3E83}"/>
    <cellStyle name="SAPBEXHLevel3" xfId="902" xr:uid="{289315C0-6D28-4804-8F9E-80B38411B102}"/>
    <cellStyle name="SAPBEXHLevel3 2" xfId="1668" xr:uid="{78161DA5-52B5-4BE1-8B1C-E61464850E4C}"/>
    <cellStyle name="SAPBEXHLevel3 3" xfId="1737" xr:uid="{2BEFD1FA-50E5-4649-ADE6-0494A814E89E}"/>
    <cellStyle name="SAPBEXHLevel3 4" xfId="1767" xr:uid="{F684A680-CB66-4D59-A874-3A13BE091BFF}"/>
    <cellStyle name="SAPBEXHLevel3X" xfId="903" xr:uid="{7EC66B92-53CB-46FC-AFE3-2101FE2F12D3}"/>
    <cellStyle name="SAPBEXHLevel3X 2" xfId="1669" xr:uid="{5F6F3C03-D9B0-4AE3-B69E-7CE25E064501}"/>
    <cellStyle name="SAPBEXHLevel3X 3" xfId="1798" xr:uid="{7DD0E148-9F23-4CB2-AE79-E612CF5BA0E5}"/>
    <cellStyle name="SAPBEXHLevel3X 4" xfId="1457" xr:uid="{D7F4BE19-D2D6-4277-8FC8-5127A047C5B1}"/>
    <cellStyle name="SAPBEXresData" xfId="904" xr:uid="{9F8C636C-A098-4D05-85EC-2F67EEC6BEB0}"/>
    <cellStyle name="SAPBEXresData 2" xfId="1670" xr:uid="{CF926666-6373-4431-8E16-F9A7DF98FFDC}"/>
    <cellStyle name="SAPBEXresData 3" xfId="1738" xr:uid="{ED8933BF-02A5-4800-8E84-30B4BA65C5D6}"/>
    <cellStyle name="SAPBEXresData 4" xfId="1768" xr:uid="{584AF12B-BB26-4DFD-B3BB-37EF89877952}"/>
    <cellStyle name="SAPBEXresDataEmph" xfId="905" xr:uid="{C52B112C-3793-46C6-85F1-1F7712368769}"/>
    <cellStyle name="SAPBEXresDataEmph 2" xfId="1671" xr:uid="{0FD8BAA2-52AB-4EBD-AB5A-DA96177021B3}"/>
    <cellStyle name="SAPBEXresDataEmph 3" xfId="1728" xr:uid="{36BF18F8-BC8A-4E8D-BA27-05F56254D016}"/>
    <cellStyle name="SAPBEXresDataEmph 4" xfId="1545" xr:uid="{166E515B-1580-45A0-B826-35C7BD720A68}"/>
    <cellStyle name="SAPBEXresItem" xfId="906" xr:uid="{72FC67C6-26D9-4F09-ACCC-07EECD4030E5}"/>
    <cellStyle name="SAPBEXresItem 2" xfId="1672" xr:uid="{FA1556F8-821C-4572-B928-EC26ED61D8DD}"/>
    <cellStyle name="SAPBEXresItem 3" xfId="1499" xr:uid="{1F6A85FC-5CB6-4F2E-B7F1-C3EF8DC6CE52}"/>
    <cellStyle name="SAPBEXresItem 4" xfId="1740" xr:uid="{37AF2FEE-EA61-4E54-B88E-1F980B99DEDC}"/>
    <cellStyle name="SAPBEXresItemX" xfId="907" xr:uid="{6E24ACEA-ED67-4BB7-9050-0A1C6C8C83CF}"/>
    <cellStyle name="SAPBEXresItemX 2" xfId="1673" xr:uid="{E0B4CDA1-09BE-41BB-B1CA-EE76F7591823}"/>
    <cellStyle name="SAPBEXresItemX 3" xfId="1799" xr:uid="{A100997C-4B8C-46D7-BC68-5BBCDA8FCD38}"/>
    <cellStyle name="SAPBEXresItemX 4" xfId="1546" xr:uid="{729E0F57-484B-4977-BAD6-45E4D8D01C36}"/>
    <cellStyle name="SAPBEXstdData" xfId="908" xr:uid="{9A5016B4-DE48-4BEA-9643-B88576F8CAB3}"/>
    <cellStyle name="SAPBEXstdData 2" xfId="909" xr:uid="{2116C62A-BC59-4C10-ACA0-B59EE50C93FE}"/>
    <cellStyle name="SAPBEXstdData 2 2" xfId="910" xr:uid="{5F44DEF1-C9FB-4895-9D48-BC876835F487}"/>
    <cellStyle name="SAPBEXstdData 2 2 2" xfId="1676" xr:uid="{C8E4FA46-6144-4836-BCC6-0F769203563A}"/>
    <cellStyle name="SAPBEXstdData 2 2 3" xfId="1501" xr:uid="{9522FAB3-4FC5-4175-A748-240D81BDCE77}"/>
    <cellStyle name="SAPBEXstdData 2 2 4" xfId="1618" xr:uid="{8A97B01F-5C9D-4A81-8FEA-DBB0C5C19907}"/>
    <cellStyle name="SAPBEXstdData 2 2 5" xfId="1510" xr:uid="{912D8166-F672-45A1-BDEB-AF770DC1C089}"/>
    <cellStyle name="SAPBEXstdData 2 3" xfId="1675" xr:uid="{0F39E9F7-94F4-49DC-9DFB-E13E2FEA44C0}"/>
    <cellStyle name="SAPBEXstdData 2 4" xfId="1730" xr:uid="{C3E80F29-82B6-4F44-9BF3-56751FF6B4B9}"/>
    <cellStyle name="SAPBEXstdData 2 5" xfId="1461" xr:uid="{B51DAC63-535B-4A57-8002-0411BB5AF05D}"/>
    <cellStyle name="SAPBEXstdData 2 6" xfId="1742" xr:uid="{E457217B-06FB-4847-9FBE-B4DA49F617EF}"/>
    <cellStyle name="SAPBEXstdData 3" xfId="911" xr:uid="{47911E54-756D-4DEA-98C3-DB91E88521F4}"/>
    <cellStyle name="SAPBEXstdData 3 2" xfId="1677" xr:uid="{19572D43-C134-4DF1-8096-8B87E5449554}"/>
    <cellStyle name="SAPBEXstdData 3 3" xfId="1800" xr:uid="{3BC40C75-2790-4128-A89F-3AD81DF3E53E}"/>
    <cellStyle name="SAPBEXstdData 3 4" xfId="1778" xr:uid="{7BA35A9C-44A3-4FEC-9BA8-45C571FF33EE}"/>
    <cellStyle name="SAPBEXstdData 3 5" xfId="1556" xr:uid="{D2E7D077-3B6B-4EBB-806D-6DD0045F09E4}"/>
    <cellStyle name="SAPBEXstdData 4" xfId="912" xr:uid="{74B20CC9-7FD6-4774-B01B-2012702E03FF}"/>
    <cellStyle name="SAPBEXstdData 4 2" xfId="1678" xr:uid="{2C49E5EA-0D30-43F5-9EE5-EFC3274976AD}"/>
    <cellStyle name="SAPBEXstdData 4 3" xfId="1731" xr:uid="{2D698305-7416-4AAC-9740-25BF1A83FDBB}"/>
    <cellStyle name="SAPBEXstdData 4 4" xfId="1462" xr:uid="{050F2FB2-3580-49ED-A47D-F064AD01BDAB}"/>
    <cellStyle name="SAPBEXstdData 4 5" xfId="1829" xr:uid="{68904397-A162-4AB6-A9B0-D4C868C75D9F}"/>
    <cellStyle name="SAPBEXstdData 5" xfId="1674" xr:uid="{3542AAF8-22AD-4059-9F6E-2DFC00074192}"/>
    <cellStyle name="SAPBEXstdData 6" xfId="1500" xr:uid="{56A66BF1-4AFB-4A5C-B67B-9B97A2E8C078}"/>
    <cellStyle name="SAPBEXstdData 7" xfId="1586" xr:uid="{C5246F84-AC95-4C05-8E34-3C8D544C5FD0}"/>
    <cellStyle name="SAPBEXstdDataEmph" xfId="913" xr:uid="{B1ED4B6C-CE12-482B-9E81-39C2EC48D1CE}"/>
    <cellStyle name="SAPBEXstdDataEmph 2" xfId="914" xr:uid="{9DB26FC9-14FF-4837-BB9E-6D519C12673E}"/>
    <cellStyle name="SAPBEXstdDataEmph 2 2" xfId="915" xr:uid="{A5C1D5F6-51E2-48F1-B6C6-3C398985C49B}"/>
    <cellStyle name="SAPBEXstdDataEmph 2 2 2" xfId="1681" xr:uid="{456B6540-BBEF-41F6-BFBA-6AA6DD918C78}"/>
    <cellStyle name="SAPBEXstdDataEmph 2 2 3" xfId="1801" xr:uid="{3C66378B-BC69-469E-AA23-CDD04CF9C80D}"/>
    <cellStyle name="SAPBEXstdDataEmph 2 2 4" xfId="1734" xr:uid="{49E7AFAD-6AEB-46F1-93F5-94D447A905DB}"/>
    <cellStyle name="SAPBEXstdDataEmph 2 2 5" xfId="1507" xr:uid="{4E38B4DE-1A99-4FC5-9589-7396212C59B8}"/>
    <cellStyle name="SAPBEXstdDataEmph 2 3" xfId="1680" xr:uid="{9DF7E893-CE69-436F-BD90-486CDEEBDC8E}"/>
    <cellStyle name="SAPBEXstdDataEmph 2 4" xfId="1568" xr:uid="{EA7A1AE5-9B0B-48FF-8E0E-589E75122354}"/>
    <cellStyle name="SAPBEXstdDataEmph 2 5" xfId="1463" xr:uid="{0BE9F8D2-6F2D-4644-ADD3-182A9B2EFB7F}"/>
    <cellStyle name="SAPBEXstdDataEmph 2 6" xfId="1702" xr:uid="{44415762-B77B-47DA-B2A3-0EB36DE4692A}"/>
    <cellStyle name="SAPBEXstdDataEmph 3" xfId="916" xr:uid="{3C1C31EC-19B9-4109-BB55-1CD894155D4D}"/>
    <cellStyle name="SAPBEXstdDataEmph 3 2" xfId="1682" xr:uid="{CD56063F-2CE5-4059-8C0A-350A1E8B4B2F}"/>
    <cellStyle name="SAPBEXstdDataEmph 3 3" xfId="1569" xr:uid="{7CC4F2C5-7822-46BF-8DF6-E0D11F2EE587}"/>
    <cellStyle name="SAPBEXstdDataEmph 3 4" xfId="1619" xr:uid="{0BE49CFC-1CDB-4010-BC78-6D817FF2AA80}"/>
    <cellStyle name="SAPBEXstdDataEmph 3 5" xfId="1818" xr:uid="{9336BB87-BDB6-4096-805F-5CB76A9B6C4E}"/>
    <cellStyle name="SAPBEXstdDataEmph 4" xfId="917" xr:uid="{64CACB1B-666A-46E0-85BF-E033C6A40170}"/>
    <cellStyle name="SAPBEXstdDataEmph 4 2" xfId="1683" xr:uid="{4CFABB07-529C-48B3-AD59-DD6585C22801}"/>
    <cellStyle name="SAPBEXstdDataEmph 4 3" xfId="1570" xr:uid="{6B128133-689B-48DB-BF19-7B61F8D6AC13}"/>
    <cellStyle name="SAPBEXstdDataEmph 4 4" xfId="1779" xr:uid="{3BB2A27A-9D39-404D-9CA3-7FBE494D439B}"/>
    <cellStyle name="SAPBEXstdDataEmph 4 5" xfId="1770" xr:uid="{678E77F0-1822-477C-9329-FF4F83AA1CD3}"/>
    <cellStyle name="SAPBEXstdDataEmph 5" xfId="1679" xr:uid="{7ECE0DFD-2066-420E-B2F2-3A90D5FB27BA}"/>
    <cellStyle name="SAPBEXstdDataEmph 6" xfId="1567" xr:uid="{6879DCF2-E3D8-487A-8660-39F1C3FB29E8}"/>
    <cellStyle name="SAPBEXstdDataEmph 7" xfId="1547" xr:uid="{4324D923-D6D1-4BA2-A338-431C95A9BDEC}"/>
    <cellStyle name="SAPBEXstdItem" xfId="918" xr:uid="{A0870A20-9C40-4B92-BB2D-12A91732FFCD}"/>
    <cellStyle name="SAPBEXstdItem 2" xfId="919" xr:uid="{D8792887-2762-4A3E-AE5C-E6CEF58B13FA}"/>
    <cellStyle name="SAPBEXstdItem 2 2" xfId="920" xr:uid="{45998D1B-FFCF-4162-8B5D-61FB3D4D94D0}"/>
    <cellStyle name="SAPBEXstdItem 2 2 2" xfId="1686" xr:uid="{52A171E6-7F5F-4F02-940D-1BA6BE62A59C}"/>
    <cellStyle name="SAPBEXstdItem 2 2 3" xfId="1571" xr:uid="{6F57245E-E452-489B-9D92-9D9137FB79E6}"/>
    <cellStyle name="SAPBEXstdItem 2 2 4" xfId="1548" xr:uid="{B14FE514-E94B-4535-863C-7F6A20BB140C}"/>
    <cellStyle name="SAPBEXstdItem 2 2 5" xfId="1536" xr:uid="{F9EEE4C2-8421-4D14-89A2-BAD7F305B078}"/>
    <cellStyle name="SAPBEXstdItem 2 3" xfId="1685" xr:uid="{4E84287F-E6B1-4A1B-B599-91E8834B2E2D}"/>
    <cellStyle name="SAPBEXstdItem 2 4" xfId="60" xr:uid="{EED6E9F0-3CD4-437B-B5AC-543D7D62A85F}"/>
    <cellStyle name="SAPBEXstdItem 2 5" xfId="1795" xr:uid="{72D0A13F-82B7-45EA-BC29-D7985BB2D1C7}"/>
    <cellStyle name="SAPBEXstdItem 2 6" xfId="1837" xr:uid="{62CC1D7A-033A-4951-B616-009A7811FEC0}"/>
    <cellStyle name="SAPBEXstdItem 3" xfId="921" xr:uid="{68A7D5CF-447B-4BD6-9F18-91C661337CF3}"/>
    <cellStyle name="SAPBEXstdItem 3 2" xfId="1687" xr:uid="{AEA81925-D998-4603-B3BE-7DF98D559DA3}"/>
    <cellStyle name="SAPBEXstdItem 3 3" xfId="1659" xr:uid="{780E7076-7D33-4BB7-8582-78C928A21F8D}"/>
    <cellStyle name="SAPBEXstdItem 3 4" xfId="1777" xr:uid="{8A5FF0F2-2D8F-42AB-90C6-EFCFE2DDB372}"/>
    <cellStyle name="SAPBEXstdItem 3 5" xfId="1596" xr:uid="{F43C76CF-7C06-4145-AE6E-5B9DB8CE1B07}"/>
    <cellStyle name="SAPBEXstdItem 4" xfId="922" xr:uid="{ACD09FCF-8084-4820-969B-4B78359E42FD}"/>
    <cellStyle name="SAPBEXstdItem 4 2" xfId="1688" xr:uid="{9B7214EA-5D7E-46FE-882C-0E692EE5D763}"/>
    <cellStyle name="SAPBEXstdItem 4 3" xfId="1572" xr:uid="{26DF2D29-83C4-46CF-871C-61FE300DD95C}"/>
    <cellStyle name="SAPBEXstdItem 4 4" xfId="1780" xr:uid="{2CC4A195-6EAC-4F9C-B9FB-4EF40F3ECB6E}"/>
    <cellStyle name="SAPBEXstdItem 4 5" xfId="1830" xr:uid="{B7496E51-7B6E-4212-9511-8EC70650B5E9}"/>
    <cellStyle name="SAPBEXstdItem 5" xfId="1684" xr:uid="{810CB15D-8B2D-490D-992B-835BD75B1BCB}"/>
    <cellStyle name="SAPBEXstdItem 6" xfId="1802" xr:uid="{5E46BDF8-C7B5-4123-A816-9DBAE3ED075F}"/>
    <cellStyle name="SAPBEXstdItem 7" xfId="1620" xr:uid="{8A81E394-ECF5-4B60-8D92-C62129DA9674}"/>
    <cellStyle name="SAPBEXstdItemX" xfId="923" xr:uid="{C83E3FEE-F36E-4C92-AA98-63F365E20906}"/>
    <cellStyle name="SAPBEXstdItemX 2" xfId="924" xr:uid="{A7465587-0CBF-4F4D-B0FC-295093914AD4}"/>
    <cellStyle name="SAPBEXstdItemX 2 2" xfId="925" xr:uid="{A94C0B7A-CFCF-4E08-A02A-04E08CBFE35F}"/>
    <cellStyle name="SAPBEXstdItemX 2 2 2" xfId="1691" xr:uid="{A3F8E89D-6987-4400-8788-465B78FF7120}"/>
    <cellStyle name="SAPBEXstdItemX 2 2 3" xfId="1751" xr:uid="{C8B790E3-B17F-46D1-9415-2A0B8A7C3407}"/>
    <cellStyle name="SAPBEXstdItemX 2 2 4" xfId="1622" xr:uid="{F3D5D922-7759-413D-9D48-A53B63850453}"/>
    <cellStyle name="SAPBEXstdItemX 2 2 5" xfId="1555" xr:uid="{5C184C05-CB1C-434D-B7D4-3354CB55FD9B}"/>
    <cellStyle name="SAPBEXstdItemX 2 3" xfId="1690" xr:uid="{3C2E1E38-648F-4FCF-B815-72647B6A50E4}"/>
    <cellStyle name="SAPBEXstdItemX 2 4" xfId="1575" xr:uid="{D32F8110-A4F1-46AA-8589-B235EFF91D3B}"/>
    <cellStyle name="SAPBEXstdItemX 2 5" xfId="1458" xr:uid="{DBFC4B3D-BC72-48B7-AFBF-D09D14433699}"/>
    <cellStyle name="SAPBEXstdItemX 2 6" xfId="1788" xr:uid="{C0627F07-D905-4DE6-8B96-0D59155CF13A}"/>
    <cellStyle name="SAPBEXstdItemX 3" xfId="926" xr:uid="{B885B554-C6F8-4903-9ACA-9DFC8F02E508}"/>
    <cellStyle name="SAPBEXstdItemX 3 2" xfId="1692" xr:uid="{CFD0EBAD-61A5-4688-A90C-C24BC8155FC5}"/>
    <cellStyle name="SAPBEXstdItemX 3 3" xfId="1576" xr:uid="{B7F6E626-A34F-4D29-9603-CA919060632F}"/>
    <cellStyle name="SAPBEXstdItemX 3 4" xfId="1549" xr:uid="{A9ED2E64-8878-4767-8A78-1AABE7EC76B3}"/>
    <cellStyle name="SAPBEXstdItemX 3 5" xfId="1467" xr:uid="{2A4B223D-08E6-4A39-9F8B-D9899344B788}"/>
    <cellStyle name="SAPBEXstdItemX 4" xfId="927" xr:uid="{5EEE0EB6-4263-41D0-9E32-E549DFE8E645}"/>
    <cellStyle name="SAPBEXstdItemX 4 2" xfId="1693" xr:uid="{8D82C0A9-105B-4E5C-ABAB-083AF6B1933B}"/>
    <cellStyle name="SAPBEXstdItemX 4 3" xfId="1577" xr:uid="{077353E5-2BA1-4E73-9EAB-DB7BF46BF2A1}"/>
    <cellStyle name="SAPBEXstdItemX 4 4" xfId="1796" xr:uid="{FF29A9E7-9632-414A-B728-B088D3FA68C6}"/>
    <cellStyle name="SAPBEXstdItemX 4 5" xfId="1769" xr:uid="{BE13E4EC-0DFB-4F72-BCD4-1480725E82B3}"/>
    <cellStyle name="SAPBEXstdItemX 5" xfId="1689" xr:uid="{56EFF6B7-4713-45A8-BABD-2D56C0E2CEC3}"/>
    <cellStyle name="SAPBEXstdItemX 6" xfId="1573" xr:uid="{552ECCE2-8E55-4E05-AF1A-B54EC7CF6BC3}"/>
    <cellStyle name="SAPBEXstdItemX 7" xfId="1828" xr:uid="{0B0BB401-C9C5-41E8-95C9-EA3F54B2A1A7}"/>
    <cellStyle name="SAPBEXtitle" xfId="928" xr:uid="{69B0BF24-BB06-4711-B9A4-14463BCDED7F}"/>
    <cellStyle name="SAPBEXtitle 2" xfId="929" xr:uid="{C4AA4488-26C0-46D2-ABC5-63648BC7C6C8}"/>
    <cellStyle name="SAPBEXtitle 3" xfId="930" xr:uid="{29FA5611-6A46-46F1-8DC4-D2F3740D409E}"/>
    <cellStyle name="SAPBEXundefined" xfId="931" xr:uid="{587FE9F5-9ABB-457F-8A71-ECCFECD8674D}"/>
    <cellStyle name="SAPBEXundefined 2" xfId="932" xr:uid="{B8809E88-9537-4DE1-A925-85CC434BB9A2}"/>
    <cellStyle name="SAPBEXundefined 2 2" xfId="933" xr:uid="{914EF16A-85AA-4504-8104-2B2211CE2D94}"/>
    <cellStyle name="SAPBEXundefined 2 2 2" xfId="1698" xr:uid="{E06BB8D8-07F4-43FF-A793-7C6C13CE63E3}"/>
    <cellStyle name="SAPBEXundefined 2 2 3" xfId="1805" xr:uid="{14EF6E8E-305F-45DE-88FC-E92B4EE2BA59}"/>
    <cellStyle name="SAPBEXundefined 2 2 4" xfId="1623" xr:uid="{915FF877-7B40-4F63-8C38-E810F33B9639}"/>
    <cellStyle name="SAPBEXundefined 2 2 5" xfId="1537" xr:uid="{E0FD7256-FCBB-4326-AA09-39F351D0B7D0}"/>
    <cellStyle name="SAPBEXundefined 2 3" xfId="1697" xr:uid="{0893975C-8F96-418F-BAED-4DE0428D4593}"/>
    <cellStyle name="SAPBEXundefined 2 4" xfId="1695" xr:uid="{ACF6A3F9-4DC6-4E42-89B3-1E9D3702243D}"/>
    <cellStyle name="SAPBEXundefined 2 5" xfId="1804" xr:uid="{A2EE7D9E-6686-4DEB-AB88-D48CFDF8240D}"/>
    <cellStyle name="SAPBEXundefined 2 6" xfId="1707" xr:uid="{A40BE255-086E-43A6-9F9A-85CBA0294FD2}"/>
    <cellStyle name="SAPBEXundefined 3" xfId="934" xr:uid="{15C7A092-E154-4EFA-B784-68F5E71194C4}"/>
    <cellStyle name="SAPBEXundefined 3 2" xfId="1699" xr:uid="{C328ABEC-7106-44E2-A6B7-761638F56FC6}"/>
    <cellStyle name="SAPBEXundefined 3 3" xfId="1701" xr:uid="{5FFCC13C-0760-4DE3-AE97-F7075DF7BBC7}"/>
    <cellStyle name="SAPBEXundefined 3 4" xfId="1661" xr:uid="{768E2619-C85B-450D-BF04-B668D72519E7}"/>
    <cellStyle name="SAPBEXundefined 3 5" xfId="1589" xr:uid="{313388B1-E1E1-40AF-8601-44DBFE3DE93F}"/>
    <cellStyle name="SAPBEXundefined 4" xfId="935" xr:uid="{36459AB9-6D3C-491D-B81F-403A0343DCDC}"/>
    <cellStyle name="SAPBEXundefined 4 2" xfId="1700" xr:uid="{25E69849-E62D-4135-840B-7CB917E05EDF}"/>
    <cellStyle name="SAPBEXundefined 4 3" xfId="1579" xr:uid="{4C3355AA-B77B-4395-984F-B56300887940}"/>
    <cellStyle name="SAPBEXundefined 4 4" xfId="1464" xr:uid="{5B238815-96F0-4144-8A33-87B729451919}"/>
    <cellStyle name="SAPBEXundefined 4 5" xfId="1512" xr:uid="{077A9FEB-5C86-430C-A668-C16B00FF6B4F}"/>
    <cellStyle name="SAPBEXundefined 5" xfId="1696" xr:uid="{C3C51995-86AB-4BF2-BE2D-A26AB1874763}"/>
    <cellStyle name="SAPBEXundefined 6" xfId="1578" xr:uid="{4AFBC374-2D91-454C-A8F1-110EAF24ADDA}"/>
    <cellStyle name="SAPBEXundefined 7" xfId="1781" xr:uid="{B373906D-06EF-4B85-ABD7-0B349EC255D7}"/>
    <cellStyle name="Style 1" xfId="936" xr:uid="{28C3B2BE-3DAE-451E-9594-337BC961DAC7}"/>
    <cellStyle name="Style 1 2" xfId="937" xr:uid="{DC0A0FA8-6689-4850-BC94-5C6FB15D2BCA}"/>
    <cellStyle name="Style 1 3" xfId="938" xr:uid="{8CE65D31-6B79-45E5-BAB4-6EABB156C9F8}"/>
    <cellStyle name="SymbolBlue" xfId="939" xr:uid="{32B7F3E4-0487-449D-AB05-B8197F4FA930}"/>
    <cellStyle name="SymbolBlue 2" xfId="940" xr:uid="{AD614C28-82C7-48E9-A212-683458FE4549}"/>
    <cellStyle name="SymbolBlue 2 2" xfId="941" xr:uid="{BA99E03B-9D19-4BB0-BD65-0EEFCC6B47BA}"/>
    <cellStyle name="SymbolBlue 2 2 2" xfId="1705" xr:uid="{ED1A64BB-3577-4F6B-AD1F-E6D04F1AE83F}"/>
    <cellStyle name="SymbolBlue 2 2 3" xfId="1763" xr:uid="{520C6AE2-5A34-46C7-BCD1-C12DC2248571}"/>
    <cellStyle name="SymbolBlue 2 2 4" xfId="1502" xr:uid="{26A2B32F-D937-40CE-BDAD-C8EF9FC11C6F}"/>
    <cellStyle name="SymbolBlue 2 2 5" xfId="1551" xr:uid="{7E9239B1-366A-4800-B146-1DFED4F1BB50}"/>
    <cellStyle name="SymbolBlue 2 3" xfId="1704" xr:uid="{260D4A26-4FEC-44F5-B774-C1428AA7ECDA}"/>
    <cellStyle name="SymbolBlue 2 4" xfId="1527" xr:uid="{D9D36785-99B8-48DB-A7F1-278072BB7B2E}"/>
    <cellStyle name="SymbolBlue 2 5" xfId="1593" xr:uid="{06945417-9442-4E48-8854-795209BA412F}"/>
    <cellStyle name="SymbolBlue 2 6" xfId="1465" xr:uid="{422CC369-02CE-4DD8-93FF-8819EB8E3676}"/>
    <cellStyle name="SymbolBlue 3" xfId="942" xr:uid="{EC30AD44-D262-47F3-94FB-79FDE77B1017}"/>
    <cellStyle name="SymbolBlue 3 2" xfId="1706" xr:uid="{BD137D59-BEAD-4D55-B97C-222235B2AD0A}"/>
    <cellStyle name="SymbolBlue 3 3" xfId="1526" xr:uid="{4BA5F89E-4481-4A1F-A63F-7887A5BF7FC7}"/>
    <cellStyle name="SymbolBlue 3 4" xfId="1752" xr:uid="{44B755D3-76B6-4E37-A1B1-48793075BA38}"/>
    <cellStyle name="SymbolBlue 3 5" xfId="1783" xr:uid="{1365068C-3ACB-4C33-BA5E-BDDB9021F8B2}"/>
    <cellStyle name="SymbolBlue 4" xfId="1703" xr:uid="{8D7E5C44-E712-4786-B138-81DE808C29F8}"/>
    <cellStyle name="SymbolBlue 5" xfId="1764" xr:uid="{9D36DFC0-FA3C-4FB9-AB1B-8C7E097467F9}"/>
    <cellStyle name="SymbolBlue 6" xfId="1503" xr:uid="{75E47F01-83CE-4410-8576-DF276F5A9666}"/>
    <cellStyle name="SymbolBlue 7" xfId="1782" xr:uid="{E4E2BD45-9FE6-4C6A-9D68-7D5CF37A63E3}"/>
    <cellStyle name="threedecplace" xfId="943" xr:uid="{B34DA2F6-454C-418E-9A70-FDCD996A0A4C}"/>
    <cellStyle name="threedecplace 2" xfId="944" xr:uid="{7F88F583-B264-493E-BF9A-853ADC50D6C9}"/>
    <cellStyle name="Times New Roman" xfId="945" xr:uid="{F00190F7-844F-46A7-BA64-51825641CA3E}"/>
    <cellStyle name="Title 2" xfId="946" xr:uid="{44777D7C-1694-4BC2-B1F4-4996A0C05089}"/>
    <cellStyle name="Total" xfId="25" builtinId="25" customBuiltin="1"/>
    <cellStyle name="Total 2" xfId="947" xr:uid="{E9B11F1D-DACC-42FA-90D7-992D2FD92230}"/>
    <cellStyle name="twodecplace" xfId="948" xr:uid="{2E915874-73EC-4C4F-B81F-80C896239A3D}"/>
    <cellStyle name="Warning Text" xfId="23" builtinId="11" customBuiltin="1"/>
    <cellStyle name="Warning Text 2" xfId="949" xr:uid="{DA3B074E-CC5B-4F01-90A1-434D931C7F8D}"/>
    <cellStyle name="WingdingsBlack" xfId="950" xr:uid="{8AB60666-DC6C-40C1-B818-9A4ACEADC571}"/>
    <cellStyle name="WingdingsBlack 2" xfId="951" xr:uid="{AA7C9D33-36FC-4809-BABB-243B397AEB80}"/>
    <cellStyle name="WingdingsBlack 2 2" xfId="952" xr:uid="{170840CD-8CDC-4A6E-9994-EA99A4B78054}"/>
    <cellStyle name="WingdingsBlack 2 2 2" xfId="1711" xr:uid="{2A560795-9E98-472B-9C17-5B71BDAD1BEA}"/>
    <cellStyle name="WingdingsBlack 2 2 3" xfId="1524" xr:uid="{52E5531D-C89B-43EC-A51F-17F271E60634}"/>
    <cellStyle name="WingdingsBlack 2 2 4" xfId="1808" xr:uid="{507B99C9-F8F9-4A81-94F1-B4E02A4D5A6E}"/>
    <cellStyle name="WingdingsBlack 2 2 5" xfId="1552" xr:uid="{F33D17AF-9707-4783-89FC-032AF5ACA6BA}"/>
    <cellStyle name="WingdingsBlack 2 3" xfId="1710" xr:uid="{C56C4165-9EA3-4D43-9118-1BE75CC19DFB}"/>
    <cellStyle name="WingdingsBlack 2 4" xfId="1761" xr:uid="{23AA0A66-9DED-42BA-B98E-9CCD0B0D1B3E}"/>
    <cellStyle name="WingdingsBlack 2 5" xfId="1825" xr:uid="{0F96B621-8469-4BF8-A6F2-9070AAE6CBBE}"/>
    <cellStyle name="WingdingsBlack 2 6" xfId="1491" xr:uid="{85F6A65F-365A-49D3-8469-B103020CAC8E}"/>
    <cellStyle name="WingdingsBlack 3" xfId="953" xr:uid="{E92F9976-C65C-4CA3-BFFA-04C07642134E}"/>
    <cellStyle name="WingdingsBlack 3 2" xfId="1712" xr:uid="{776B6199-5594-4C85-BA4C-37446389D6D3}"/>
    <cellStyle name="WingdingsBlack 3 3" xfId="1760" xr:uid="{AB619C15-ADB0-4EA1-AC5B-C065B7205A38}"/>
    <cellStyle name="WingdingsBlack 3 4" xfId="1773" xr:uid="{A4EA5AB2-3237-4C3D-A343-20097B3A8DC3}"/>
    <cellStyle name="WingdingsBlack 3 5" xfId="1785" xr:uid="{88E969EF-D648-4947-A84F-486DDB70BD92}"/>
    <cellStyle name="WingdingsBlack 4" xfId="1709" xr:uid="{04C523CF-845E-4868-952D-C802ECD44886}"/>
    <cellStyle name="WingdingsBlack 5" xfId="1525" xr:uid="{E0947EA1-37B0-4397-86D4-8736B10B7B60}"/>
    <cellStyle name="WingdingsBlack 6" xfId="1744" xr:uid="{0DB23E1D-15C5-4BE0-9663-FA8466D7F199}"/>
    <cellStyle name="WingdingsBlack 7" xfId="1554" xr:uid="{EB12A25B-667D-4CAB-86F0-39BC056E6771}"/>
    <cellStyle name="WingdingsRed" xfId="954" xr:uid="{D4516DD3-C361-4ADD-AF9B-6810FC7ABC88}"/>
    <cellStyle name="WingdingsRed 2" xfId="955" xr:uid="{C84F20FF-6D19-4BAC-933C-F49BBABC6AD4}"/>
    <cellStyle name="WingdingsRed 2 2" xfId="956" xr:uid="{88A00878-A4D1-4468-8F1C-E6248F6227D1}"/>
    <cellStyle name="WingdingsRed 2 2 2" xfId="1715" xr:uid="{4828E860-B662-49F7-8263-AF4DD39DB348}"/>
    <cellStyle name="WingdingsRed 2 2 3" xfId="1758" xr:uid="{0C5CF997-3DBC-4B7D-B3A7-1ED5EB05980A}"/>
    <cellStyle name="WingdingsRed 2 2 4" xfId="1592" xr:uid="{19CCC8D6-8F00-44CF-AC9D-0B92B1ADEA7A}"/>
    <cellStyle name="WingdingsRed 2 2 5" xfId="1535" xr:uid="{B611AC1E-FBCF-4291-8EC2-58E83748805F}"/>
    <cellStyle name="WingdingsRed 2 3" xfId="1714" xr:uid="{B8F5FB6B-9DB9-4A06-83E4-860453C4894E}"/>
    <cellStyle name="WingdingsRed 2 4" xfId="1759" xr:uid="{BA9906BB-73F4-4D9B-90BE-C9104648C999}"/>
    <cellStyle name="WingdingsRed 2 5" xfId="1539" xr:uid="{0F12FBCD-7500-4B3A-9C59-B6E11BFEA050}"/>
    <cellStyle name="WingdingsRed 2 6" xfId="1750" xr:uid="{94A795EC-F2FE-4728-895E-9A4163F55A2E}"/>
    <cellStyle name="WingdingsRed 3" xfId="957" xr:uid="{615C0D25-43BD-4A4E-A2CF-27D7A38128A0}"/>
    <cellStyle name="WingdingsRed 3 2" xfId="1716" xr:uid="{4FED000A-D247-4E74-BE30-F10B7C6DFC69}"/>
    <cellStyle name="WingdingsRed 3 3" xfId="1522" xr:uid="{B307ACC1-D668-42DB-95B7-455024FC921C}"/>
    <cellStyle name="WingdingsRed 3 4" xfId="1826" xr:uid="{5A03DADE-2461-4700-A23E-A142AD050240}"/>
    <cellStyle name="WingdingsRed 3 5" xfId="1786" xr:uid="{CD9F4915-CAB4-4A2F-AEDD-162A402E9283}"/>
    <cellStyle name="WingdingsRed 4" xfId="1713" xr:uid="{B7D8868F-6ACB-49DB-B04D-9D977B9F0F71}"/>
    <cellStyle name="WingdingsRed 5" xfId="1523" xr:uid="{AF6E2673-6D16-44DE-8703-AC60EC15CAF9}"/>
    <cellStyle name="WingdingsRed 6" xfId="1743" xr:uid="{8415BB37-3736-4587-812B-DEFC7421AA7B}"/>
    <cellStyle name="WingdingsRed 7" xfId="1553" xr:uid="{508E62DD-91F1-4A0B-840B-373A2DA78FAA}"/>
    <cellStyle name="WingdingsWhite" xfId="958" xr:uid="{E01BA262-7AC5-4B27-9A13-261F2C9D6234}"/>
    <cellStyle name="WingdingsWhite 2" xfId="959" xr:uid="{A7540EC4-9028-4821-A4BE-A78A34AA2F0D}"/>
    <cellStyle name="WingdingsWhite 2 2" xfId="960" xr:uid="{F68E9D8C-6A16-4AAC-9DCD-5BCDF6C90091}"/>
    <cellStyle name="WingdingsWhite 2 2 2" xfId="1719" xr:uid="{A28C5D1F-0AFC-4566-B721-ED082FF13C43}"/>
    <cellStyle name="WingdingsWhite 2 2 3" xfId="1521" xr:uid="{21C4085C-D025-4600-8E03-3CC16A824417}"/>
    <cellStyle name="WingdingsWhite 2 2 4" xfId="1591" xr:uid="{E7DFC0B9-23F6-4371-A5AB-B314BB73DFA4}"/>
    <cellStyle name="WingdingsWhite 2 2 5" xfId="1587" xr:uid="{7521DF70-DF9A-4B8B-A7BE-5591205E0556}"/>
    <cellStyle name="WingdingsWhite 2 3" xfId="1718" xr:uid="{FBF3DC6E-BE56-4F5C-A02B-DA1DF70BA140}"/>
    <cellStyle name="WingdingsWhite 2 4" xfId="1756" xr:uid="{BD4C7E33-5D1D-4C06-A67A-49421B9C5630}"/>
    <cellStyle name="WingdingsWhite 2 5" xfId="1772" xr:uid="{34153826-9560-4B96-9CEA-62C2AF87E518}"/>
    <cellStyle name="WingdingsWhite 2 6" xfId="1625" xr:uid="{52CDD22C-A984-4AC8-A47F-F1DDF87D78A1}"/>
    <cellStyle name="WingdingsWhite 3" xfId="961" xr:uid="{239EB25F-33F0-4B81-97AB-F01CA5C74747}"/>
    <cellStyle name="WingdingsWhite 3 2" xfId="1720" xr:uid="{C275BDB2-9A5D-45C9-93EA-4D3371487E27}"/>
    <cellStyle name="WingdingsWhite 3 3" xfId="1520" xr:uid="{677454AC-EED3-4C03-9A08-02E330CBF238}"/>
    <cellStyle name="WingdingsWhite 3 4" xfId="1538" xr:uid="{780EB6D4-CADF-4463-A905-C2DA0AFC78B1}"/>
    <cellStyle name="WingdingsWhite 3 5" xfId="1514" xr:uid="{CA26666F-DA32-4129-88D2-2C82DA3A4126}"/>
    <cellStyle name="WingdingsWhite 4" xfId="1717" xr:uid="{EEACEC63-206F-4AA7-8F4F-F9015D4CC608}"/>
    <cellStyle name="WingdingsWhite 5" xfId="1757" xr:uid="{3A4E3325-CC06-494E-916A-8F18D99D9224}"/>
    <cellStyle name="WingdingsWhite 6" xfId="1725" xr:uid="{2CC74DD9-8300-41FA-92ED-C9D6AEE9A7D8}"/>
    <cellStyle name="WingdingsWhite 7" xfId="1741" xr:uid="{32636A50-96DA-45E3-B6E1-F70B8FF37D3B}"/>
    <cellStyle name="เครื่องหมายจุลภาค [0]_1" xfId="962" xr:uid="{E126B318-C531-4E2E-B1FB-FDB7ABC11917}"/>
    <cellStyle name="เครื่องหมายจุลภาค_1" xfId="963" xr:uid="{FF64189D-94F8-4E0F-8D94-E1A033B4E33B}"/>
    <cellStyle name="เครื่องหมายสกุลเงิน [0]_1" xfId="964" xr:uid="{DBE6CEC3-8E26-43E4-9C7F-20D06948C8ED}"/>
    <cellStyle name="เครื่องหมายสกุลเงิน_1" xfId="965" xr:uid="{F9558470-F91C-4716-B3D5-36977BBD96D6}"/>
    <cellStyle name="เชื่อมโยงหลายมิติ_FORECAST DPC 2004" xfId="966" xr:uid="{D4D801C1-2C32-497E-9954-CC0D04DFBEAF}"/>
    <cellStyle name="ตามการเชื่อมโยงหลายมิติ_FORECAST DPC 2004" xfId="967" xr:uid="{12535343-7DDB-4844-AC77-C8103B0F5C45}"/>
    <cellStyle name="ปกติ_1" xfId="968" xr:uid="{EE0C1B54-49E6-4CC5-9897-404F2F473314}"/>
    <cellStyle name="千位[0]_laroux" xfId="969" xr:uid="{54BD5B1E-90E5-4E47-923D-A875C8373C5E}"/>
    <cellStyle name="千位分隔[0]_2.5G报价模板" xfId="970" xr:uid="{BD4B3716-B635-4AB6-AA1A-F3B8BD6D8EB0}"/>
    <cellStyle name="千位分隔_2.5G报价模板" xfId="971" xr:uid="{59FD4516-FF1A-4F58-B933-EE300C63EC58}"/>
    <cellStyle name="千分位[0]_laroux" xfId="972" xr:uid="{D3DD74AB-E88B-46C6-AE4A-67E1336BDE18}"/>
    <cellStyle name="千分位_laroux" xfId="973" xr:uid="{028786BA-80A3-42F6-8A0E-E9093355C632}"/>
    <cellStyle name="常规_400G-Novosibirsk- Khabarovsk-Nahodka-Quotation-20030429" xfId="974" xr:uid="{CBCB8088-632C-4A21-A626-99C72BBC83EB}"/>
    <cellStyle name="標準_AIS JV Sanrio 20 BTS 2+20 &amp; cut 1 &amp;eEBIT" xfId="975" xr:uid="{F2EA15CD-96F0-4C1E-B9FB-836082A052B9}"/>
  </cellStyles>
  <dxfs count="0"/>
  <tableStyles count="0" defaultTableStyle="TableStyleMedium2" defaultPivotStyle="PivotStyleLight16"/>
  <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vestor.ais.co.th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ais.co.t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nvestor.ais.co.th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ais.co.th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ais.c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9373-774A-450A-B1CD-D3448517EBB2}">
  <dimension ref="A2:D13"/>
  <sheetViews>
    <sheetView zoomScale="123" zoomScaleNormal="226" workbookViewId="0">
      <selection activeCell="A8" sqref="A8"/>
    </sheetView>
  </sheetViews>
  <sheetFormatPr defaultRowHeight="14"/>
  <cols>
    <col min="4" max="4" width="15.58203125" customWidth="1"/>
  </cols>
  <sheetData>
    <row r="2" spans="1:4" ht="15.5">
      <c r="A2" s="221" t="s">
        <v>244</v>
      </c>
    </row>
    <row r="4" spans="1:4" ht="54" customHeight="1">
      <c r="A4" s="412" t="s">
        <v>0</v>
      </c>
      <c r="B4" s="413"/>
      <c r="C4" s="413"/>
      <c r="D4" s="413"/>
    </row>
    <row r="5" spans="1:4">
      <c r="A5" s="412"/>
      <c r="B5" s="413"/>
      <c r="C5" s="413"/>
      <c r="D5" s="413"/>
    </row>
    <row r="6" spans="1:4">
      <c r="A6" s="1"/>
      <c r="B6" s="2"/>
      <c r="C6" s="2"/>
      <c r="D6" s="2"/>
    </row>
    <row r="7" spans="1:4">
      <c r="A7" s="219" t="s">
        <v>1</v>
      </c>
      <c r="B7" s="2"/>
      <c r="C7" s="2"/>
      <c r="D7" s="2"/>
    </row>
    <row r="8" spans="1:4">
      <c r="A8" s="4" t="s">
        <v>2</v>
      </c>
      <c r="B8" s="2"/>
      <c r="C8" s="2"/>
      <c r="D8" s="2"/>
    </row>
    <row r="9" spans="1:4">
      <c r="A9" s="4" t="s">
        <v>3</v>
      </c>
      <c r="B9" s="2"/>
      <c r="C9" s="2"/>
    </row>
    <row r="10" spans="1:4">
      <c r="A10" s="4" t="s">
        <v>4</v>
      </c>
      <c r="B10" s="3"/>
    </row>
    <row r="11" spans="1:4">
      <c r="A11" s="4" t="s">
        <v>5</v>
      </c>
      <c r="B11" s="3"/>
    </row>
    <row r="12" spans="1:4">
      <c r="A12" s="4" t="s">
        <v>6</v>
      </c>
      <c r="B12" s="3"/>
    </row>
    <row r="13" spans="1:4">
      <c r="B13" s="3"/>
    </row>
  </sheetData>
  <mergeCells count="1">
    <mergeCell ref="A4:D5"/>
  </mergeCells>
  <hyperlinks>
    <hyperlink ref="A9" location="'Consolidated Income Statements'!A1" display="Consolidated Income Statements" xr:uid="{3DC28CAE-16EB-43A7-AF68-F986B5D54D78}"/>
    <hyperlink ref="A10" location="'Consolidated Balance Sheets'!A1" display="Consolidated Balance sheets" xr:uid="{82DF18F1-BF7D-4EC3-BD05-44596A803801}"/>
    <hyperlink ref="A11" location="FCFF!A1" display="FCFF" xr:uid="{7920E9DE-CDC9-468A-8542-57CA6142E8B8}"/>
    <hyperlink ref="A8" location="'Operating stats'!A1" display="Operating stats" xr:uid="{671EF931-ABB9-46C2-9582-79E2EC75A9B2}"/>
    <hyperlink ref="A12" location="Sustainability!A1" display="Sustainability" xr:uid="{E4E1F355-C0BE-47C1-A864-2E4CAD7AA1D4}"/>
  </hyperlinks>
  <pageMargins left="0.7" right="0.7" top="0.75" bottom="0.75" header="0.3" footer="0.3"/>
  <headerFooter>
    <oddHeader>&amp;C&amp;"Calibri"&amp;10&amp;K000000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3259-0787-4F7D-9841-5F2F6E8B49CA}">
  <sheetPr>
    <tabColor theme="1" tint="0.499984740745262"/>
  </sheetPr>
  <dimension ref="A1:N30"/>
  <sheetViews>
    <sheetView zoomScale="96" zoomScaleNormal="145" workbookViewId="0">
      <selection activeCell="B21" sqref="B21"/>
    </sheetView>
  </sheetViews>
  <sheetFormatPr defaultColWidth="9" defaultRowHeight="10"/>
  <cols>
    <col min="1" max="1" width="32.58203125" style="281" bestFit="1" customWidth="1"/>
    <col min="2" max="2" width="116.83203125" style="281" bestFit="1" customWidth="1"/>
    <col min="3" max="16384" width="9" style="281"/>
  </cols>
  <sheetData>
    <row r="1" spans="1:2" s="292" customFormat="1" ht="10.5">
      <c r="A1" s="291" t="s">
        <v>7</v>
      </c>
    </row>
    <row r="2" spans="1:2" s="292" customFormat="1" ht="10.5">
      <c r="A2" s="291"/>
    </row>
    <row r="3" spans="1:2" s="292" customFormat="1" ht="10.5">
      <c r="A3" s="293" t="s">
        <v>8</v>
      </c>
      <c r="B3" s="294" t="s">
        <v>9</v>
      </c>
    </row>
    <row r="4" spans="1:2" s="292" customFormat="1" ht="10.5">
      <c r="A4" s="295" t="s">
        <v>10</v>
      </c>
      <c r="B4" s="296"/>
    </row>
    <row r="5" spans="1:2">
      <c r="A5" s="297" t="s">
        <v>11</v>
      </c>
      <c r="B5" s="298" t="s">
        <v>12</v>
      </c>
    </row>
    <row r="6" spans="1:2">
      <c r="A6" s="297" t="s">
        <v>13</v>
      </c>
      <c r="B6" s="298" t="s">
        <v>14</v>
      </c>
    </row>
    <row r="7" spans="1:2">
      <c r="A7" s="396" t="s">
        <v>151</v>
      </c>
      <c r="B7" s="397" t="s">
        <v>247</v>
      </c>
    </row>
    <row r="8" spans="1:2">
      <c r="A8" s="297" t="s">
        <v>15</v>
      </c>
      <c r="B8" s="298" t="s">
        <v>15</v>
      </c>
    </row>
    <row r="9" spans="1:2">
      <c r="A9" s="297" t="s">
        <v>16</v>
      </c>
      <c r="B9" s="298" t="s">
        <v>17</v>
      </c>
    </row>
    <row r="10" spans="1:2" ht="10.5">
      <c r="A10" s="295" t="s">
        <v>18</v>
      </c>
      <c r="B10" s="298"/>
    </row>
    <row r="11" spans="1:2">
      <c r="A11" s="297" t="s">
        <v>19</v>
      </c>
      <c r="B11" s="298" t="s">
        <v>20</v>
      </c>
    </row>
    <row r="12" spans="1:2">
      <c r="A12" s="297" t="s">
        <v>21</v>
      </c>
      <c r="B12" s="298" t="s">
        <v>22</v>
      </c>
    </row>
    <row r="13" spans="1:2">
      <c r="A13" s="297" t="s">
        <v>23</v>
      </c>
      <c r="B13" s="298" t="s">
        <v>24</v>
      </c>
    </row>
    <row r="14" spans="1:2">
      <c r="A14" s="297" t="s">
        <v>25</v>
      </c>
      <c r="B14" s="298" t="s">
        <v>26</v>
      </c>
    </row>
    <row r="15" spans="1:2">
      <c r="A15" s="297" t="s">
        <v>27</v>
      </c>
      <c r="B15" s="298" t="s">
        <v>28</v>
      </c>
    </row>
    <row r="16" spans="1:2" ht="10.5">
      <c r="A16" s="295" t="s">
        <v>29</v>
      </c>
      <c r="B16" s="298"/>
    </row>
    <row r="17" spans="1:14">
      <c r="A17" s="349" t="s">
        <v>30</v>
      </c>
      <c r="B17" s="298" t="s">
        <v>31</v>
      </c>
    </row>
    <row r="18" spans="1:14">
      <c r="A18" s="349" t="s">
        <v>32</v>
      </c>
      <c r="B18" s="298" t="s">
        <v>33</v>
      </c>
    </row>
    <row r="19" spans="1:14">
      <c r="A19" s="349" t="s">
        <v>34</v>
      </c>
      <c r="B19" s="298" t="s">
        <v>35</v>
      </c>
    </row>
    <row r="20" spans="1:14">
      <c r="A20" s="349" t="s">
        <v>5</v>
      </c>
      <c r="B20" s="298" t="s">
        <v>36</v>
      </c>
    </row>
    <row r="21" spans="1:14" ht="10.5">
      <c r="A21" s="295" t="s">
        <v>37</v>
      </c>
      <c r="B21" s="298"/>
    </row>
    <row r="22" spans="1:14">
      <c r="A22" s="349" t="s">
        <v>38</v>
      </c>
      <c r="B22" s="298" t="s">
        <v>39</v>
      </c>
    </row>
    <row r="23" spans="1:14" ht="20">
      <c r="A23" s="349" t="s">
        <v>40</v>
      </c>
      <c r="B23" s="350" t="s">
        <v>41</v>
      </c>
    </row>
    <row r="24" spans="1:14">
      <c r="A24" s="349" t="s">
        <v>42</v>
      </c>
      <c r="B24" s="298" t="s">
        <v>43</v>
      </c>
    </row>
    <row r="25" spans="1:14">
      <c r="A25" s="349" t="s">
        <v>44</v>
      </c>
      <c r="B25" s="298" t="s">
        <v>45</v>
      </c>
    </row>
    <row r="26" spans="1:14">
      <c r="A26" s="349" t="s">
        <v>46</v>
      </c>
      <c r="B26" s="298" t="s">
        <v>47</v>
      </c>
    </row>
    <row r="27" spans="1:14">
      <c r="A27" s="349" t="s">
        <v>48</v>
      </c>
      <c r="B27" s="298" t="s">
        <v>49</v>
      </c>
    </row>
    <row r="28" spans="1:14">
      <c r="A28" s="351" t="s">
        <v>50</v>
      </c>
      <c r="B28" s="299" t="s">
        <v>51</v>
      </c>
    </row>
    <row r="30" spans="1:14" s="174" customFormat="1" ht="10.5">
      <c r="A30" s="300" t="s">
        <v>52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</row>
  </sheetData>
  <pageMargins left="0.7" right="0.7" top="0.75" bottom="0.75" header="0.3" footer="0.3"/>
  <pageSetup paperSize="9" orientation="portrait" r:id="rId1"/>
  <headerFooter>
    <oddHeader>&amp;C&amp;"Calibri"&amp;10&amp;K000000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8E3B-2D79-42E6-BCAC-A45F1DA01E6E}">
  <sheetPr>
    <pageSetUpPr fitToPage="1"/>
  </sheetPr>
  <dimension ref="A1:BI68"/>
  <sheetViews>
    <sheetView tabSelected="1" zoomScale="80" zoomScaleNormal="80" workbookViewId="0">
      <pane xSplit="1" ySplit="5" topLeftCell="AM24" activePane="bottomRight" state="frozen"/>
      <selection pane="topRight" activeCell="B1" sqref="B1"/>
      <selection pane="bottomLeft" activeCell="A5" sqref="A5"/>
      <selection pane="bottomRight" activeCell="AV40" sqref="AV40"/>
    </sheetView>
  </sheetViews>
  <sheetFormatPr defaultColWidth="9.58203125" defaultRowHeight="10" outlineLevelRow="1"/>
  <cols>
    <col min="1" max="1" width="62" style="175" customWidth="1"/>
    <col min="2" max="2" width="9.83203125" style="176" customWidth="1"/>
    <col min="3" max="47" width="9.83203125" style="8" customWidth="1"/>
    <col min="48" max="48" width="5.58203125" style="8" customWidth="1"/>
    <col min="49" max="50" width="6.58203125" style="8" bestFit="1" customWidth="1"/>
    <col min="51" max="16384" width="9.58203125" style="8"/>
  </cols>
  <sheetData>
    <row r="1" spans="1:53" ht="11.5">
      <c r="A1" s="5" t="s">
        <v>244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3" ht="11.5">
      <c r="A2" s="9" t="s">
        <v>53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3" ht="11.5">
      <c r="A3" s="7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 s="14" customFormat="1" ht="11.5">
      <c r="A4" s="10"/>
      <c r="B4" s="11">
        <v>2014</v>
      </c>
      <c r="C4" s="415">
        <v>2015</v>
      </c>
      <c r="D4" s="414"/>
      <c r="E4" s="414"/>
      <c r="F4" s="416"/>
      <c r="G4" s="415">
        <v>2016</v>
      </c>
      <c r="H4" s="414"/>
      <c r="I4" s="414"/>
      <c r="J4" s="416"/>
      <c r="K4" s="415">
        <v>2017</v>
      </c>
      <c r="L4" s="414"/>
      <c r="M4" s="414"/>
      <c r="N4" s="416"/>
      <c r="O4" s="415">
        <v>2018</v>
      </c>
      <c r="P4" s="414"/>
      <c r="Q4" s="414"/>
      <c r="R4" s="416"/>
      <c r="S4" s="415">
        <v>2019</v>
      </c>
      <c r="T4" s="414"/>
      <c r="U4" s="414"/>
      <c r="V4" s="223"/>
      <c r="W4" s="415">
        <v>2020</v>
      </c>
      <c r="X4" s="414"/>
      <c r="Y4" s="414"/>
      <c r="Z4" s="416"/>
      <c r="AA4" s="415">
        <v>2021</v>
      </c>
      <c r="AB4" s="414"/>
      <c r="AC4" s="414"/>
      <c r="AD4" s="416"/>
      <c r="AE4" s="415">
        <v>2022</v>
      </c>
      <c r="AF4" s="414"/>
      <c r="AG4" s="414"/>
      <c r="AH4" s="416"/>
      <c r="AI4" s="415">
        <v>2023</v>
      </c>
      <c r="AJ4" s="414"/>
      <c r="AK4" s="414"/>
      <c r="AL4" s="414"/>
      <c r="AM4" s="414">
        <v>2024</v>
      </c>
      <c r="AN4" s="414"/>
      <c r="AO4" s="414"/>
      <c r="AP4" s="414"/>
      <c r="AQ4" s="414">
        <v>2025</v>
      </c>
      <c r="AR4" s="414"/>
      <c r="AS4" s="414"/>
      <c r="AT4" s="414"/>
      <c r="AU4" s="269">
        <v>2026</v>
      </c>
      <c r="AV4" s="12"/>
      <c r="AW4" s="13"/>
      <c r="AX4" s="13"/>
    </row>
    <row r="5" spans="1:53" s="15" customFormat="1" ht="11.5">
      <c r="A5" s="10"/>
      <c r="B5" s="11" t="s">
        <v>54</v>
      </c>
      <c r="C5" s="13" t="s">
        <v>55</v>
      </c>
      <c r="D5" s="13" t="s">
        <v>56</v>
      </c>
      <c r="E5" s="13" t="s">
        <v>57</v>
      </c>
      <c r="F5" s="11" t="s">
        <v>58</v>
      </c>
      <c r="G5" s="13" t="s">
        <v>59</v>
      </c>
      <c r="H5" s="13" t="s">
        <v>60</v>
      </c>
      <c r="I5" s="13" t="s">
        <v>61</v>
      </c>
      <c r="J5" s="11" t="s">
        <v>62</v>
      </c>
      <c r="K5" s="13" t="s">
        <v>63</v>
      </c>
      <c r="L5" s="13" t="s">
        <v>64</v>
      </c>
      <c r="M5" s="13" t="s">
        <v>65</v>
      </c>
      <c r="N5" s="11" t="s">
        <v>66</v>
      </c>
      <c r="O5" s="13" t="s">
        <v>67</v>
      </c>
      <c r="P5" s="13" t="s">
        <v>68</v>
      </c>
      <c r="Q5" s="13" t="s">
        <v>69</v>
      </c>
      <c r="R5" s="11" t="s">
        <v>70</v>
      </c>
      <c r="S5" s="263" t="s">
        <v>71</v>
      </c>
      <c r="T5" s="13" t="s">
        <v>72</v>
      </c>
      <c r="U5" s="13" t="s">
        <v>73</v>
      </c>
      <c r="V5" s="11" t="s">
        <v>74</v>
      </c>
      <c r="W5" s="263" t="s">
        <v>75</v>
      </c>
      <c r="X5" s="13" t="s">
        <v>76</v>
      </c>
      <c r="Y5" s="13" t="s">
        <v>77</v>
      </c>
      <c r="Z5" s="11" t="s">
        <v>78</v>
      </c>
      <c r="AA5" s="263" t="s">
        <v>79</v>
      </c>
      <c r="AB5" s="13" t="s">
        <v>80</v>
      </c>
      <c r="AC5" s="13" t="s">
        <v>81</v>
      </c>
      <c r="AD5" s="11" t="s">
        <v>82</v>
      </c>
      <c r="AE5" s="13" t="s">
        <v>83</v>
      </c>
      <c r="AF5" s="264" t="s">
        <v>84</v>
      </c>
      <c r="AG5" s="13" t="s">
        <v>85</v>
      </c>
      <c r="AH5" s="11" t="s">
        <v>86</v>
      </c>
      <c r="AI5" s="13" t="s">
        <v>87</v>
      </c>
      <c r="AJ5" s="13" t="s">
        <v>88</v>
      </c>
      <c r="AK5" s="13" t="s">
        <v>89</v>
      </c>
      <c r="AL5" s="13" t="s">
        <v>90</v>
      </c>
      <c r="AM5" s="13" t="s">
        <v>91</v>
      </c>
      <c r="AN5" s="13" t="s">
        <v>92</v>
      </c>
      <c r="AO5" s="13" t="s">
        <v>93</v>
      </c>
      <c r="AP5" s="13" t="s">
        <v>94</v>
      </c>
      <c r="AQ5" s="13" t="s">
        <v>95</v>
      </c>
      <c r="AR5" s="13" t="s">
        <v>96</v>
      </c>
      <c r="AS5" s="13" t="s">
        <v>97</v>
      </c>
      <c r="AT5" s="13" t="s">
        <v>98</v>
      </c>
      <c r="AU5" s="13" t="s">
        <v>243</v>
      </c>
      <c r="AV5" s="12"/>
      <c r="AW5" s="13" t="s">
        <v>99</v>
      </c>
      <c r="AX5" s="13" t="s">
        <v>100</v>
      </c>
    </row>
    <row r="6" spans="1:53" s="15" customFormat="1" ht="11.5">
      <c r="A6" s="10" t="s">
        <v>101</v>
      </c>
      <c r="B6" s="11"/>
      <c r="C6" s="13"/>
      <c r="D6" s="13"/>
      <c r="E6" s="13"/>
      <c r="F6" s="11"/>
      <c r="G6" s="13"/>
      <c r="H6" s="13"/>
      <c r="I6" s="13"/>
      <c r="J6" s="11"/>
      <c r="K6" s="13"/>
      <c r="L6" s="13"/>
      <c r="M6" s="13"/>
      <c r="N6" s="11"/>
      <c r="O6" s="13"/>
      <c r="P6" s="13"/>
      <c r="Q6" s="13"/>
      <c r="R6" s="11"/>
      <c r="S6" s="263"/>
      <c r="T6" s="13"/>
      <c r="U6" s="13"/>
      <c r="V6" s="11"/>
      <c r="W6" s="263"/>
      <c r="X6" s="13"/>
      <c r="Y6" s="13"/>
      <c r="Z6" s="11"/>
      <c r="AA6" s="263"/>
      <c r="AB6" s="13"/>
      <c r="AC6" s="13"/>
      <c r="AD6" s="11"/>
      <c r="AE6" s="13"/>
      <c r="AF6" s="264"/>
      <c r="AG6" s="13"/>
      <c r="AH6" s="11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2"/>
      <c r="AW6" s="13"/>
      <c r="AX6" s="13"/>
    </row>
    <row r="7" spans="1:53" s="15" customFormat="1" ht="11.5">
      <c r="A7" s="10" t="s">
        <v>102</v>
      </c>
      <c r="B7" s="11"/>
      <c r="C7" s="13"/>
      <c r="D7" s="13"/>
      <c r="E7" s="13"/>
      <c r="F7" s="11"/>
      <c r="G7" s="13"/>
      <c r="H7" s="13"/>
      <c r="I7" s="13"/>
      <c r="J7" s="11"/>
      <c r="K7" s="13"/>
      <c r="L7" s="13"/>
      <c r="M7" s="13"/>
      <c r="N7" s="11"/>
      <c r="O7" s="13"/>
      <c r="P7" s="13"/>
      <c r="Q7" s="13"/>
      <c r="R7" s="11"/>
      <c r="S7" s="263"/>
      <c r="T7" s="13"/>
      <c r="U7" s="13"/>
      <c r="V7" s="11"/>
      <c r="W7" s="263"/>
      <c r="X7" s="13"/>
      <c r="Y7" s="13"/>
      <c r="Z7" s="11"/>
      <c r="AA7" s="263"/>
      <c r="AB7" s="13"/>
      <c r="AC7" s="13"/>
      <c r="AD7" s="11"/>
      <c r="AE7" s="13"/>
      <c r="AF7" s="264"/>
      <c r="AG7" s="13"/>
      <c r="AH7" s="11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2"/>
      <c r="AW7" s="13"/>
      <c r="AX7" s="13"/>
    </row>
    <row r="8" spans="1:53" s="24" customFormat="1" ht="11.5">
      <c r="A8" s="16" t="s">
        <v>103</v>
      </c>
      <c r="B8" s="17"/>
      <c r="C8" s="18">
        <v>5059500</v>
      </c>
      <c r="D8" s="18">
        <v>5219900</v>
      </c>
      <c r="E8" s="18">
        <v>5363200</v>
      </c>
      <c r="F8" s="17">
        <v>5431200</v>
      </c>
      <c r="G8" s="18">
        <v>5412400</v>
      </c>
      <c r="H8" s="18">
        <v>5812800</v>
      </c>
      <c r="I8" s="18">
        <v>6108700</v>
      </c>
      <c r="J8" s="17">
        <v>6429600</v>
      </c>
      <c r="K8" s="18">
        <v>6661400</v>
      </c>
      <c r="L8" s="18">
        <v>6991500</v>
      </c>
      <c r="M8" s="18">
        <v>7226800</v>
      </c>
      <c r="N8" s="17">
        <v>7390100</v>
      </c>
      <c r="O8" s="18">
        <v>7617100</v>
      </c>
      <c r="P8" s="18">
        <v>7822600</v>
      </c>
      <c r="Q8" s="18">
        <v>8014700</v>
      </c>
      <c r="R8" s="17">
        <v>8189900</v>
      </c>
      <c r="S8" s="19">
        <v>8543800</v>
      </c>
      <c r="T8" s="18">
        <v>8793500</v>
      </c>
      <c r="U8" s="18">
        <v>9001700</v>
      </c>
      <c r="V8" s="17">
        <v>9107400</v>
      </c>
      <c r="W8" s="19">
        <v>9140800</v>
      </c>
      <c r="X8" s="18">
        <v>9536400</v>
      </c>
      <c r="Y8" s="18">
        <v>9771500</v>
      </c>
      <c r="Z8" s="17">
        <v>10192400</v>
      </c>
      <c r="AA8" s="19">
        <v>10634800</v>
      </c>
      <c r="AB8" s="18">
        <v>10986500</v>
      </c>
      <c r="AC8" s="18">
        <v>11276300</v>
      </c>
      <c r="AD8" s="17">
        <v>11522200</v>
      </c>
      <c r="AE8" s="18">
        <v>11760100</v>
      </c>
      <c r="AF8" s="20">
        <v>12074900</v>
      </c>
      <c r="AG8" s="20">
        <v>12371000</v>
      </c>
      <c r="AH8" s="17">
        <v>12560100</v>
      </c>
      <c r="AI8" s="20">
        <v>12668900</v>
      </c>
      <c r="AJ8" s="20">
        <v>12673200</v>
      </c>
      <c r="AK8" s="20">
        <v>12663800</v>
      </c>
      <c r="AL8" s="20">
        <v>12715000</v>
      </c>
      <c r="AM8" s="20">
        <v>12733200</v>
      </c>
      <c r="AN8" s="20">
        <v>12797600</v>
      </c>
      <c r="AO8" s="20">
        <v>12915400</v>
      </c>
      <c r="AP8" s="20">
        <v>13013800</v>
      </c>
      <c r="AQ8" s="20">
        <v>13166300</v>
      </c>
      <c r="AR8" s="20">
        <v>13288800</v>
      </c>
      <c r="AS8" s="20">
        <v>13435600</v>
      </c>
      <c r="AT8" s="20">
        <v>13629800</v>
      </c>
      <c r="AU8" s="20">
        <v>13803100</v>
      </c>
      <c r="AV8" s="21"/>
      <c r="AW8" s="22">
        <v>4.8399999999999999E-2</v>
      </c>
      <c r="AX8" s="22">
        <v>1.2699999999999999E-2</v>
      </c>
      <c r="AY8" s="23"/>
    </row>
    <row r="9" spans="1:53" s="24" customFormat="1" ht="11.5">
      <c r="A9" s="16" t="s">
        <v>104</v>
      </c>
      <c r="B9" s="17">
        <v>39360600</v>
      </c>
      <c r="C9" s="18">
        <v>36891300</v>
      </c>
      <c r="D9" s="18">
        <v>34841200</v>
      </c>
      <c r="E9" s="18">
        <v>32447500</v>
      </c>
      <c r="F9" s="17">
        <v>33056900</v>
      </c>
      <c r="G9" s="18">
        <v>33515900</v>
      </c>
      <c r="H9" s="18">
        <v>33542200</v>
      </c>
      <c r="I9" s="18">
        <v>33764700</v>
      </c>
      <c r="J9" s="17">
        <v>34601600</v>
      </c>
      <c r="K9" s="18">
        <v>33986400</v>
      </c>
      <c r="L9" s="18">
        <v>33482000</v>
      </c>
      <c r="M9" s="18">
        <v>32959500</v>
      </c>
      <c r="N9" s="17">
        <v>32665400</v>
      </c>
      <c r="O9" s="18">
        <v>32432900</v>
      </c>
      <c r="P9" s="18">
        <v>32272100</v>
      </c>
      <c r="Q9" s="18">
        <v>32632300</v>
      </c>
      <c r="R9" s="17">
        <v>32979300</v>
      </c>
      <c r="S9" s="19">
        <v>32946900</v>
      </c>
      <c r="T9" s="18">
        <v>32670900</v>
      </c>
      <c r="U9" s="18">
        <v>32556400</v>
      </c>
      <c r="V9" s="17">
        <v>32906400</v>
      </c>
      <c r="W9" s="19">
        <v>32015300</v>
      </c>
      <c r="X9" s="18">
        <v>31483400</v>
      </c>
      <c r="Y9" s="18">
        <v>31170000</v>
      </c>
      <c r="Z9" s="17">
        <v>31244400</v>
      </c>
      <c r="AA9" s="19">
        <v>32132300</v>
      </c>
      <c r="AB9" s="18">
        <v>32247200</v>
      </c>
      <c r="AC9" s="18">
        <v>32381600</v>
      </c>
      <c r="AD9" s="17">
        <v>32594500</v>
      </c>
      <c r="AE9" s="18">
        <v>32863100</v>
      </c>
      <c r="AF9" s="20">
        <v>33429500</v>
      </c>
      <c r="AG9" s="20">
        <v>33290700</v>
      </c>
      <c r="AH9" s="17">
        <v>33453000</v>
      </c>
      <c r="AI9" s="20">
        <v>33452200</v>
      </c>
      <c r="AJ9" s="20">
        <v>32643000</v>
      </c>
      <c r="AK9" s="20">
        <v>31785900</v>
      </c>
      <c r="AL9" s="20">
        <v>31901500</v>
      </c>
      <c r="AM9" s="20">
        <v>32291700</v>
      </c>
      <c r="AN9" s="20">
        <v>32871400</v>
      </c>
      <c r="AO9" s="20">
        <v>33366700</v>
      </c>
      <c r="AP9" s="20">
        <v>32747200</v>
      </c>
      <c r="AQ9" s="20">
        <v>32549500</v>
      </c>
      <c r="AR9" s="20">
        <v>32714600</v>
      </c>
      <c r="AS9" s="20">
        <v>32839100</v>
      </c>
      <c r="AT9" s="20">
        <v>33140100</v>
      </c>
      <c r="AU9" s="20">
        <v>33137000</v>
      </c>
      <c r="AV9" s="21"/>
      <c r="AW9" s="22">
        <v>1.7999999999999999E-2</v>
      </c>
      <c r="AX9" s="25">
        <v>-1E-4</v>
      </c>
      <c r="AY9" s="23"/>
    </row>
    <row r="10" spans="1:53" s="24" customFormat="1" ht="11.5">
      <c r="A10" s="26" t="s">
        <v>105</v>
      </c>
      <c r="B10" s="27">
        <f t="shared" ref="B10:G10" si="0">B8+B9</f>
        <v>39360600</v>
      </c>
      <c r="C10" s="28">
        <f t="shared" si="0"/>
        <v>41950800</v>
      </c>
      <c r="D10" s="28">
        <f t="shared" si="0"/>
        <v>40061100</v>
      </c>
      <c r="E10" s="28">
        <f t="shared" si="0"/>
        <v>37810700</v>
      </c>
      <c r="F10" s="27">
        <f t="shared" si="0"/>
        <v>38488100</v>
      </c>
      <c r="G10" s="28">
        <f t="shared" si="0"/>
        <v>38928300</v>
      </c>
      <c r="H10" s="28">
        <f>H8+H9</f>
        <v>39355000</v>
      </c>
      <c r="I10" s="28">
        <f>I8+I9</f>
        <v>39873400</v>
      </c>
      <c r="J10" s="29">
        <v>41031200</v>
      </c>
      <c r="K10" s="30">
        <v>40647800</v>
      </c>
      <c r="L10" s="30">
        <f t="shared" ref="L10:T10" si="1">SUM(L8:L9)</f>
        <v>40473500</v>
      </c>
      <c r="M10" s="30">
        <f t="shared" si="1"/>
        <v>40186300</v>
      </c>
      <c r="N10" s="29">
        <f t="shared" si="1"/>
        <v>40055500</v>
      </c>
      <c r="O10" s="30">
        <f t="shared" si="1"/>
        <v>40050000</v>
      </c>
      <c r="P10" s="30">
        <f t="shared" si="1"/>
        <v>40094700</v>
      </c>
      <c r="Q10" s="30">
        <f t="shared" si="1"/>
        <v>40647000</v>
      </c>
      <c r="R10" s="29">
        <f t="shared" si="1"/>
        <v>41169200</v>
      </c>
      <c r="S10" s="31">
        <f t="shared" si="1"/>
        <v>41490700</v>
      </c>
      <c r="T10" s="30">
        <f t="shared" si="1"/>
        <v>41464400</v>
      </c>
      <c r="U10" s="30">
        <f t="shared" ref="U10:V10" si="2">SUM(U8:U9)</f>
        <v>41558100</v>
      </c>
      <c r="V10" s="29">
        <f t="shared" si="2"/>
        <v>42013800</v>
      </c>
      <c r="W10" s="31">
        <v>41156100</v>
      </c>
      <c r="X10" s="30">
        <v>41019800</v>
      </c>
      <c r="Y10" s="30">
        <v>40941500</v>
      </c>
      <c r="Z10" s="29">
        <v>41436800</v>
      </c>
      <c r="AA10" s="31">
        <v>42767100</v>
      </c>
      <c r="AB10" s="30">
        <v>43233700</v>
      </c>
      <c r="AC10" s="30">
        <v>43657900</v>
      </c>
      <c r="AD10" s="29">
        <v>44116700</v>
      </c>
      <c r="AE10" s="30">
        <v>44623200</v>
      </c>
      <c r="AF10" s="32">
        <v>45504400</v>
      </c>
      <c r="AG10" s="32">
        <v>45661700</v>
      </c>
      <c r="AH10" s="29">
        <v>46013100</v>
      </c>
      <c r="AI10" s="32">
        <v>46121100</v>
      </c>
      <c r="AJ10" s="32">
        <v>45316200</v>
      </c>
      <c r="AK10" s="32">
        <v>44449700</v>
      </c>
      <c r="AL10" s="32">
        <v>44616500</v>
      </c>
      <c r="AM10" s="32">
        <v>45024900</v>
      </c>
      <c r="AN10" s="32">
        <v>45669000</v>
      </c>
      <c r="AO10" s="32">
        <v>46282100</v>
      </c>
      <c r="AP10" s="32">
        <v>45761000</v>
      </c>
      <c r="AQ10" s="32">
        <v>45715800</v>
      </c>
      <c r="AR10" s="32">
        <v>46003400</v>
      </c>
      <c r="AS10" s="32">
        <v>46274700</v>
      </c>
      <c r="AT10" s="32">
        <v>46769900</v>
      </c>
      <c r="AU10" s="32">
        <v>46940100</v>
      </c>
      <c r="AV10" s="33"/>
      <c r="AW10" s="34">
        <v>2.6800000000000001E-2</v>
      </c>
      <c r="AX10" s="34">
        <v>3.5999999999999999E-3</v>
      </c>
      <c r="AY10" s="23"/>
    </row>
    <row r="11" spans="1:53" s="24" customFormat="1" ht="11.5">
      <c r="A11" s="35"/>
      <c r="B11" s="36"/>
      <c r="C11" s="37"/>
      <c r="D11" s="37"/>
      <c r="E11" s="37"/>
      <c r="F11" s="36"/>
      <c r="G11" s="37"/>
      <c r="H11" s="37"/>
      <c r="I11" s="37"/>
      <c r="J11" s="36"/>
      <c r="K11" s="37"/>
      <c r="L11" s="37"/>
      <c r="M11" s="37"/>
      <c r="N11" s="36"/>
      <c r="O11" s="37"/>
      <c r="P11" s="37"/>
      <c r="Q11" s="37"/>
      <c r="R11" s="36"/>
      <c r="S11" s="38"/>
      <c r="T11" s="37"/>
      <c r="U11" s="37"/>
      <c r="V11" s="36"/>
      <c r="W11" s="38"/>
      <c r="X11" s="37"/>
      <c r="Y11" s="37"/>
      <c r="Z11" s="36"/>
      <c r="AA11" s="38"/>
      <c r="AB11" s="37"/>
      <c r="AC11" s="37"/>
      <c r="AD11" s="36"/>
      <c r="AE11" s="37"/>
      <c r="AF11" s="37"/>
      <c r="AG11" s="37"/>
      <c r="AH11" s="36"/>
      <c r="AI11" s="37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3"/>
      <c r="AW11" s="40"/>
      <c r="AX11" s="40"/>
      <c r="AY11" s="23"/>
    </row>
    <row r="12" spans="1:53" s="15" customFormat="1" ht="11.5">
      <c r="A12" s="10" t="s">
        <v>106</v>
      </c>
      <c r="B12" s="11"/>
      <c r="C12" s="13"/>
      <c r="D12" s="13"/>
      <c r="E12" s="13"/>
      <c r="F12" s="11"/>
      <c r="G12" s="13"/>
      <c r="H12" s="13"/>
      <c r="I12" s="13"/>
      <c r="J12" s="11"/>
      <c r="K12" s="13"/>
      <c r="L12" s="13"/>
      <c r="M12" s="13"/>
      <c r="N12" s="11"/>
      <c r="O12" s="13"/>
      <c r="P12" s="13"/>
      <c r="Q12" s="13"/>
      <c r="R12" s="11"/>
      <c r="S12" s="263"/>
      <c r="T12" s="13"/>
      <c r="U12" s="13"/>
      <c r="V12" s="11"/>
      <c r="W12" s="263"/>
      <c r="X12" s="13"/>
      <c r="Y12" s="13"/>
      <c r="Z12" s="11"/>
      <c r="AA12" s="263"/>
      <c r="AB12" s="13"/>
      <c r="AC12" s="13"/>
      <c r="AD12" s="11"/>
      <c r="AE12" s="13"/>
      <c r="AF12" s="264"/>
      <c r="AG12" s="264"/>
      <c r="AH12" s="11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12"/>
      <c r="AW12" s="13"/>
      <c r="AX12" s="13"/>
      <c r="AY12" s="23"/>
    </row>
    <row r="13" spans="1:53" ht="11.5">
      <c r="A13" s="41" t="s">
        <v>107</v>
      </c>
      <c r="B13" s="42" t="s">
        <v>108</v>
      </c>
      <c r="C13" s="43">
        <f>C8-B8</f>
        <v>5059500</v>
      </c>
      <c r="D13" s="43">
        <f t="shared" ref="D13:O14" si="3">D8-C8</f>
        <v>160400</v>
      </c>
      <c r="E13" s="43">
        <f t="shared" si="3"/>
        <v>143300</v>
      </c>
      <c r="F13" s="44">
        <f t="shared" si="3"/>
        <v>68000</v>
      </c>
      <c r="G13" s="43">
        <f t="shared" si="3"/>
        <v>-18800</v>
      </c>
      <c r="H13" s="43">
        <f t="shared" si="3"/>
        <v>400400</v>
      </c>
      <c r="I13" s="43">
        <f t="shared" si="3"/>
        <v>295900</v>
      </c>
      <c r="J13" s="45">
        <f t="shared" si="3"/>
        <v>320900</v>
      </c>
      <c r="K13" s="46">
        <f t="shared" si="3"/>
        <v>231800</v>
      </c>
      <c r="L13" s="46">
        <f t="shared" si="3"/>
        <v>330100</v>
      </c>
      <c r="M13" s="46">
        <f t="shared" si="3"/>
        <v>235300</v>
      </c>
      <c r="N13" s="45">
        <f t="shared" si="3"/>
        <v>163300</v>
      </c>
      <c r="O13" s="46">
        <f t="shared" si="3"/>
        <v>227000</v>
      </c>
      <c r="P13" s="46">
        <v>205500</v>
      </c>
      <c r="Q13" s="46">
        <v>192100</v>
      </c>
      <c r="R13" s="45">
        <v>175200</v>
      </c>
      <c r="S13" s="47">
        <v>353900</v>
      </c>
      <c r="T13" s="46">
        <v>249700</v>
      </c>
      <c r="U13" s="46">
        <v>208200</v>
      </c>
      <c r="V13" s="45">
        <v>105700</v>
      </c>
      <c r="W13" s="47">
        <v>33400</v>
      </c>
      <c r="X13" s="46">
        <v>395600</v>
      </c>
      <c r="Y13" s="46">
        <v>235100</v>
      </c>
      <c r="Z13" s="45">
        <v>420900</v>
      </c>
      <c r="AA13" s="47">
        <v>442400</v>
      </c>
      <c r="AB13" s="46">
        <v>351700</v>
      </c>
      <c r="AC13" s="46">
        <v>289800</v>
      </c>
      <c r="AD13" s="45">
        <v>245900</v>
      </c>
      <c r="AE13" s="46">
        <v>237900</v>
      </c>
      <c r="AF13" s="48">
        <v>314800</v>
      </c>
      <c r="AG13" s="48">
        <v>296100</v>
      </c>
      <c r="AH13" s="45">
        <v>189100</v>
      </c>
      <c r="AI13" s="48">
        <v>108800</v>
      </c>
      <c r="AJ13" s="48">
        <v>4300</v>
      </c>
      <c r="AK13" s="48">
        <v>-9400</v>
      </c>
      <c r="AL13" s="48">
        <v>51200</v>
      </c>
      <c r="AM13" s="48">
        <v>18200</v>
      </c>
      <c r="AN13" s="48">
        <v>64400</v>
      </c>
      <c r="AO13" s="48">
        <v>117800</v>
      </c>
      <c r="AP13" s="48">
        <v>98400</v>
      </c>
      <c r="AQ13" s="48">
        <v>152500</v>
      </c>
      <c r="AR13" s="48">
        <v>122500</v>
      </c>
      <c r="AS13" s="48">
        <v>146800</v>
      </c>
      <c r="AT13" s="48">
        <v>194200</v>
      </c>
      <c r="AU13" s="48">
        <v>173300</v>
      </c>
      <c r="AV13" s="43"/>
      <c r="AW13" s="389">
        <v>0.13639999999999999</v>
      </c>
      <c r="AX13" s="389">
        <v>-0.1076</v>
      </c>
      <c r="AY13" s="378"/>
      <c r="BA13" s="24"/>
    </row>
    <row r="14" spans="1:53" ht="11.5">
      <c r="A14" s="41" t="s">
        <v>109</v>
      </c>
      <c r="B14" s="42" t="s">
        <v>108</v>
      </c>
      <c r="C14" s="43">
        <f>C9-B9</f>
        <v>-2469300</v>
      </c>
      <c r="D14" s="43">
        <f t="shared" si="3"/>
        <v>-2050100</v>
      </c>
      <c r="E14" s="43">
        <f t="shared" si="3"/>
        <v>-2393700</v>
      </c>
      <c r="F14" s="44">
        <f t="shared" si="3"/>
        <v>609400</v>
      </c>
      <c r="G14" s="43">
        <f t="shared" si="3"/>
        <v>459000</v>
      </c>
      <c r="H14" s="43">
        <f t="shared" si="3"/>
        <v>26300</v>
      </c>
      <c r="I14" s="43">
        <f t="shared" si="3"/>
        <v>222500</v>
      </c>
      <c r="J14" s="45">
        <f t="shared" si="3"/>
        <v>836900</v>
      </c>
      <c r="K14" s="46">
        <f t="shared" si="3"/>
        <v>-615200</v>
      </c>
      <c r="L14" s="46">
        <f t="shared" si="3"/>
        <v>-504400</v>
      </c>
      <c r="M14" s="46">
        <f t="shared" si="3"/>
        <v>-522500</v>
      </c>
      <c r="N14" s="45">
        <f t="shared" si="3"/>
        <v>-294100</v>
      </c>
      <c r="O14" s="46">
        <f t="shared" si="3"/>
        <v>-232500</v>
      </c>
      <c r="P14" s="46">
        <v>-160800</v>
      </c>
      <c r="Q14" s="46">
        <v>360200</v>
      </c>
      <c r="R14" s="45">
        <v>347000</v>
      </c>
      <c r="S14" s="47">
        <v>-32400</v>
      </c>
      <c r="T14" s="46">
        <v>-276000</v>
      </c>
      <c r="U14" s="46">
        <v>-114500</v>
      </c>
      <c r="V14" s="45">
        <v>350000</v>
      </c>
      <c r="W14" s="47">
        <v>-891100</v>
      </c>
      <c r="X14" s="46">
        <v>-531900</v>
      </c>
      <c r="Y14" s="46">
        <v>-313400</v>
      </c>
      <c r="Z14" s="45">
        <v>74400</v>
      </c>
      <c r="AA14" s="47">
        <v>887900</v>
      </c>
      <c r="AB14" s="46">
        <v>114900</v>
      </c>
      <c r="AC14" s="46">
        <v>134400</v>
      </c>
      <c r="AD14" s="45">
        <v>212900</v>
      </c>
      <c r="AE14" s="46">
        <v>268600</v>
      </c>
      <c r="AF14" s="48">
        <v>566400</v>
      </c>
      <c r="AG14" s="48">
        <v>-138800</v>
      </c>
      <c r="AH14" s="45">
        <v>162300</v>
      </c>
      <c r="AI14" s="48">
        <v>-800</v>
      </c>
      <c r="AJ14" s="48">
        <v>-809200</v>
      </c>
      <c r="AK14" s="48">
        <v>-857100</v>
      </c>
      <c r="AL14" s="48">
        <v>115600</v>
      </c>
      <c r="AM14" s="48">
        <v>390200</v>
      </c>
      <c r="AN14" s="48">
        <v>579700</v>
      </c>
      <c r="AO14" s="48">
        <v>495300</v>
      </c>
      <c r="AP14" s="48">
        <v>-619500</v>
      </c>
      <c r="AQ14" s="48">
        <v>-197700</v>
      </c>
      <c r="AR14" s="48">
        <v>165100</v>
      </c>
      <c r="AS14" s="48">
        <v>124500</v>
      </c>
      <c r="AT14" s="48">
        <v>301000</v>
      </c>
      <c r="AU14" s="48">
        <v>-3100</v>
      </c>
      <c r="AV14" s="43"/>
      <c r="AW14" s="389">
        <v>-0.98429999999999995</v>
      </c>
      <c r="AX14" s="355" t="s">
        <v>246</v>
      </c>
      <c r="AY14" s="379"/>
      <c r="BA14" s="24"/>
    </row>
    <row r="15" spans="1:53" s="24" customFormat="1" ht="11.5">
      <c r="A15" s="26" t="s">
        <v>110</v>
      </c>
      <c r="B15" s="27" t="s">
        <v>108</v>
      </c>
      <c r="C15" s="51">
        <f t="shared" ref="C15:H15" si="4">C13+C14</f>
        <v>2590200</v>
      </c>
      <c r="D15" s="51">
        <f t="shared" si="4"/>
        <v>-1889700</v>
      </c>
      <c r="E15" s="51">
        <f t="shared" si="4"/>
        <v>-2250400</v>
      </c>
      <c r="F15" s="52">
        <f t="shared" si="4"/>
        <v>677400</v>
      </c>
      <c r="G15" s="51">
        <f t="shared" si="4"/>
        <v>440200</v>
      </c>
      <c r="H15" s="51">
        <f t="shared" si="4"/>
        <v>426700</v>
      </c>
      <c r="I15" s="51">
        <f>I13+I14</f>
        <v>518400</v>
      </c>
      <c r="J15" s="53">
        <f t="shared" ref="J15:X15" si="5">J13+J14</f>
        <v>1157800</v>
      </c>
      <c r="K15" s="54">
        <f t="shared" si="5"/>
        <v>-383400</v>
      </c>
      <c r="L15" s="54">
        <f t="shared" si="5"/>
        <v>-174300</v>
      </c>
      <c r="M15" s="54">
        <f t="shared" si="5"/>
        <v>-287200</v>
      </c>
      <c r="N15" s="53">
        <f t="shared" si="5"/>
        <v>-130800</v>
      </c>
      <c r="O15" s="54">
        <f t="shared" si="5"/>
        <v>-5500</v>
      </c>
      <c r="P15" s="54">
        <f t="shared" si="5"/>
        <v>44700</v>
      </c>
      <c r="Q15" s="54">
        <f t="shared" si="5"/>
        <v>552300</v>
      </c>
      <c r="R15" s="53">
        <f t="shared" si="5"/>
        <v>522200</v>
      </c>
      <c r="S15" s="55">
        <f t="shared" si="5"/>
        <v>321500</v>
      </c>
      <c r="T15" s="56">
        <f t="shared" si="5"/>
        <v>-26300</v>
      </c>
      <c r="U15" s="56">
        <f t="shared" si="5"/>
        <v>93700</v>
      </c>
      <c r="V15" s="57">
        <f t="shared" si="5"/>
        <v>455700</v>
      </c>
      <c r="W15" s="55">
        <f t="shared" si="5"/>
        <v>-857700</v>
      </c>
      <c r="X15" s="56">
        <f t="shared" si="5"/>
        <v>-136300</v>
      </c>
      <c r="Y15" s="56">
        <v>-78300</v>
      </c>
      <c r="Z15" s="57">
        <v>495300</v>
      </c>
      <c r="AA15" s="55">
        <v>1330300</v>
      </c>
      <c r="AB15" s="56">
        <v>466600</v>
      </c>
      <c r="AC15" s="56">
        <v>424200</v>
      </c>
      <c r="AD15" s="57">
        <v>458800</v>
      </c>
      <c r="AE15" s="56">
        <v>506500</v>
      </c>
      <c r="AF15" s="58">
        <v>881200</v>
      </c>
      <c r="AG15" s="58">
        <v>157300</v>
      </c>
      <c r="AH15" s="57">
        <v>351400</v>
      </c>
      <c r="AI15" s="58">
        <v>108000</v>
      </c>
      <c r="AJ15" s="58">
        <v>-804900</v>
      </c>
      <c r="AK15" s="58">
        <v>-866500</v>
      </c>
      <c r="AL15" s="58">
        <v>166800</v>
      </c>
      <c r="AM15" s="58">
        <v>408400</v>
      </c>
      <c r="AN15" s="58">
        <v>644100</v>
      </c>
      <c r="AO15" s="58">
        <v>613100</v>
      </c>
      <c r="AP15" s="58">
        <v>-521100</v>
      </c>
      <c r="AQ15" s="58">
        <v>-45200</v>
      </c>
      <c r="AR15" s="58">
        <v>287600</v>
      </c>
      <c r="AS15" s="58">
        <v>271300</v>
      </c>
      <c r="AT15" s="58">
        <v>495200</v>
      </c>
      <c r="AU15" s="58">
        <v>170200</v>
      </c>
      <c r="AV15" s="33"/>
      <c r="AW15" s="390" t="s">
        <v>246</v>
      </c>
      <c r="AX15" s="390">
        <v>-0.65629999999999999</v>
      </c>
      <c r="AY15" s="379"/>
    </row>
    <row r="16" spans="1:53" s="24" customFormat="1" ht="11.5">
      <c r="A16" s="59"/>
      <c r="B16" s="36"/>
      <c r="C16" s="33"/>
      <c r="D16" s="33"/>
      <c r="E16" s="33"/>
      <c r="F16" s="60"/>
      <c r="G16" s="33"/>
      <c r="H16" s="33"/>
      <c r="I16" s="33"/>
      <c r="J16" s="60"/>
      <c r="K16" s="33"/>
      <c r="L16" s="33"/>
      <c r="M16" s="33"/>
      <c r="N16" s="60"/>
      <c r="O16" s="33"/>
      <c r="P16" s="33"/>
      <c r="Q16" s="33"/>
      <c r="R16" s="60"/>
      <c r="S16" s="61"/>
      <c r="T16" s="33"/>
      <c r="U16" s="33"/>
      <c r="V16" s="60"/>
      <c r="W16" s="61"/>
      <c r="X16" s="33"/>
      <c r="Y16" s="33"/>
      <c r="Z16" s="60"/>
      <c r="AA16" s="61"/>
      <c r="AB16" s="33"/>
      <c r="AC16" s="33"/>
      <c r="AD16" s="60"/>
      <c r="AE16" s="33"/>
      <c r="AF16" s="33"/>
      <c r="AG16" s="33"/>
      <c r="AH16" s="60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79"/>
    </row>
    <row r="17" spans="1:59" ht="11.5">
      <c r="A17" s="41"/>
      <c r="B17" s="62"/>
      <c r="C17" s="7"/>
      <c r="D17" s="7"/>
      <c r="E17" s="7"/>
      <c r="F17" s="63"/>
      <c r="G17" s="7"/>
      <c r="H17" s="7"/>
      <c r="I17" s="7"/>
      <c r="J17" s="63"/>
      <c r="K17" s="7"/>
      <c r="L17" s="7"/>
      <c r="M17" s="7"/>
      <c r="N17" s="63"/>
      <c r="O17" s="7"/>
      <c r="P17" s="7"/>
      <c r="Q17" s="7"/>
      <c r="R17" s="63"/>
      <c r="S17" s="64"/>
      <c r="T17" s="7"/>
      <c r="U17" s="7"/>
      <c r="V17" s="63"/>
      <c r="W17" s="64"/>
      <c r="X17" s="7"/>
      <c r="Y17" s="7"/>
      <c r="Z17" s="63"/>
      <c r="AA17" s="64"/>
      <c r="AB17" s="7"/>
      <c r="AC17" s="7"/>
      <c r="AD17" s="63"/>
      <c r="AE17" s="7"/>
      <c r="AF17" s="7"/>
      <c r="AG17" s="7"/>
      <c r="AH17" s="63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65"/>
      <c r="AW17" s="7"/>
      <c r="AX17" s="7"/>
      <c r="AY17" s="379"/>
    </row>
    <row r="18" spans="1:59" s="15" customFormat="1" ht="11.5">
      <c r="A18" s="10" t="s">
        <v>111</v>
      </c>
      <c r="B18" s="11"/>
      <c r="C18" s="13"/>
      <c r="D18" s="13"/>
      <c r="E18" s="13"/>
      <c r="F18" s="11"/>
      <c r="G18" s="13"/>
      <c r="H18" s="13"/>
      <c r="I18" s="13"/>
      <c r="J18" s="11"/>
      <c r="K18" s="13"/>
      <c r="L18" s="13"/>
      <c r="M18" s="13"/>
      <c r="N18" s="11"/>
      <c r="O18" s="11"/>
      <c r="P18" s="13"/>
      <c r="Q18" s="13"/>
      <c r="R18" s="11"/>
      <c r="S18" s="263"/>
      <c r="T18" s="13"/>
      <c r="U18" s="13"/>
      <c r="V18" s="11"/>
      <c r="W18" s="263"/>
      <c r="X18" s="13"/>
      <c r="Y18" s="13"/>
      <c r="Z18" s="11"/>
      <c r="AA18" s="263"/>
      <c r="AB18" s="13"/>
      <c r="AC18" s="13"/>
      <c r="AD18" s="11"/>
      <c r="AE18" s="13"/>
      <c r="AF18" s="264"/>
      <c r="AG18" s="264"/>
      <c r="AH18" s="11"/>
      <c r="AI18" s="264"/>
      <c r="AJ18" s="264"/>
      <c r="AK18" s="264"/>
      <c r="AL18" s="264"/>
      <c r="AM18" s="264"/>
      <c r="AN18" s="264"/>
      <c r="AO18" s="264"/>
      <c r="AP18" s="264"/>
      <c r="AQ18" s="264"/>
      <c r="AR18" s="264"/>
      <c r="AS18" s="264"/>
      <c r="AT18" s="264"/>
      <c r="AU18" s="264"/>
      <c r="AV18" s="12"/>
      <c r="AW18" s="13"/>
      <c r="AX18" s="13"/>
      <c r="AY18" s="379"/>
    </row>
    <row r="19" spans="1:59" s="24" customFormat="1" ht="11.5">
      <c r="A19" s="35" t="s">
        <v>112</v>
      </c>
      <c r="B19" s="66"/>
      <c r="C19" s="66"/>
      <c r="D19" s="66"/>
      <c r="E19" s="66"/>
      <c r="F19" s="67"/>
      <c r="G19" s="68"/>
      <c r="H19" s="68"/>
      <c r="I19" s="68"/>
      <c r="J19" s="67"/>
      <c r="K19" s="68"/>
      <c r="L19" s="68"/>
      <c r="M19" s="68"/>
      <c r="N19" s="67"/>
      <c r="O19" s="68"/>
      <c r="P19" s="68"/>
      <c r="Q19" s="68"/>
      <c r="R19" s="67"/>
      <c r="S19" s="69"/>
      <c r="T19" s="69"/>
      <c r="U19" s="69"/>
      <c r="V19" s="67"/>
      <c r="W19" s="69"/>
      <c r="X19" s="69"/>
      <c r="Y19" s="69"/>
      <c r="Z19" s="70">
        <v>239300</v>
      </c>
      <c r="AA19" s="71">
        <v>719000</v>
      </c>
      <c r="AB19" s="48">
        <v>1055000</v>
      </c>
      <c r="AC19" s="48">
        <v>1500000</v>
      </c>
      <c r="AD19" s="70">
        <v>2200000</v>
      </c>
      <c r="AE19" s="46">
        <v>2811000</v>
      </c>
      <c r="AF19" s="48">
        <v>3903000</v>
      </c>
      <c r="AG19" s="48">
        <v>5468700</v>
      </c>
      <c r="AH19" s="70">
        <v>6828400</v>
      </c>
      <c r="AI19" s="48">
        <v>7173300</v>
      </c>
      <c r="AJ19" s="48">
        <v>7770000</v>
      </c>
      <c r="AK19" s="48">
        <v>8495800</v>
      </c>
      <c r="AL19" s="48">
        <v>9169700</v>
      </c>
      <c r="AM19" s="48">
        <v>9867100</v>
      </c>
      <c r="AN19" s="48">
        <v>10643500</v>
      </c>
      <c r="AO19" s="48">
        <v>11615700</v>
      </c>
      <c r="AP19" s="48">
        <v>12157400</v>
      </c>
      <c r="AQ19" s="48">
        <v>12715000</v>
      </c>
      <c r="AR19" s="48">
        <v>13933500</v>
      </c>
      <c r="AS19" s="48">
        <v>15788100</v>
      </c>
      <c r="AT19" s="48">
        <v>17860300</v>
      </c>
      <c r="AU19" s="48">
        <v>18503400</v>
      </c>
      <c r="AV19" s="22"/>
      <c r="AW19" s="49">
        <v>0.45519999999999999</v>
      </c>
      <c r="AX19" s="25">
        <v>3.5999999999999997E-2</v>
      </c>
      <c r="AY19" s="379"/>
    </row>
    <row r="20" spans="1:59" ht="11.5">
      <c r="A20" s="72"/>
      <c r="B20" s="73"/>
      <c r="C20" s="74"/>
      <c r="D20" s="74"/>
      <c r="E20" s="74"/>
      <c r="F20" s="75"/>
      <c r="G20" s="74"/>
      <c r="H20" s="74"/>
      <c r="I20" s="74"/>
      <c r="J20" s="75"/>
      <c r="K20" s="74"/>
      <c r="L20" s="74"/>
      <c r="M20" s="74"/>
      <c r="N20" s="75"/>
      <c r="O20" s="74"/>
      <c r="P20" s="74"/>
      <c r="Q20" s="74"/>
      <c r="R20" s="75"/>
      <c r="S20" s="76"/>
      <c r="T20" s="74"/>
      <c r="U20" s="74"/>
      <c r="V20" s="77"/>
      <c r="W20" s="76"/>
      <c r="X20" s="74"/>
      <c r="Y20" s="74"/>
      <c r="Z20" s="77"/>
      <c r="AA20" s="76"/>
      <c r="AB20" s="74"/>
      <c r="AC20" s="74"/>
      <c r="AD20" s="77"/>
      <c r="AE20" s="78"/>
      <c r="AF20" s="79"/>
      <c r="AG20" s="79"/>
      <c r="AH20" s="77"/>
      <c r="AI20" s="79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65"/>
      <c r="AW20" s="74"/>
      <c r="AX20" s="74"/>
      <c r="AY20" s="379"/>
    </row>
    <row r="21" spans="1:59" ht="9.75" customHeight="1">
      <c r="A21" s="41" t="s">
        <v>113</v>
      </c>
      <c r="B21" s="80"/>
      <c r="C21" s="81"/>
      <c r="D21" s="81"/>
      <c r="E21" s="81"/>
      <c r="F21" s="82"/>
      <c r="G21" s="81"/>
      <c r="H21" s="81"/>
      <c r="I21" s="81"/>
      <c r="J21" s="82"/>
      <c r="K21" s="81"/>
      <c r="L21" s="81"/>
      <c r="M21" s="81"/>
      <c r="N21" s="82"/>
      <c r="O21" s="81"/>
      <c r="P21" s="81"/>
      <c r="Q21" s="81"/>
      <c r="R21" s="82"/>
      <c r="S21" s="83"/>
      <c r="T21" s="84"/>
      <c r="U21" s="84"/>
      <c r="V21" s="85"/>
      <c r="W21" s="83"/>
      <c r="X21" s="84"/>
      <c r="Y21" s="84"/>
      <c r="Z21" s="85"/>
      <c r="AA21" s="83"/>
      <c r="AB21" s="84"/>
      <c r="AC21" s="84"/>
      <c r="AD21" s="85"/>
      <c r="AE21" s="86"/>
      <c r="AF21" s="81"/>
      <c r="AG21" s="81"/>
      <c r="AH21" s="85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7"/>
      <c r="AW21" s="87"/>
      <c r="AX21" s="87"/>
      <c r="AY21" s="379"/>
    </row>
    <row r="22" spans="1:59" s="15" customFormat="1" ht="11.5">
      <c r="A22" s="10" t="s">
        <v>114</v>
      </c>
      <c r="B22" s="11"/>
      <c r="C22" s="13"/>
      <c r="D22" s="13"/>
      <c r="E22" s="13"/>
      <c r="F22" s="11"/>
      <c r="G22" s="13"/>
      <c r="H22" s="13"/>
      <c r="I22" s="13"/>
      <c r="J22" s="11"/>
      <c r="K22" s="13"/>
      <c r="L22" s="13"/>
      <c r="M22" s="13"/>
      <c r="N22" s="11"/>
      <c r="O22" s="13"/>
      <c r="P22" s="13"/>
      <c r="Q22" s="13"/>
      <c r="R22" s="11"/>
      <c r="S22" s="263"/>
      <c r="T22" s="13"/>
      <c r="U22" s="13"/>
      <c r="V22" s="11"/>
      <c r="W22" s="263"/>
      <c r="X22" s="13"/>
      <c r="Y22" s="13"/>
      <c r="Z22" s="11"/>
      <c r="AA22" s="263"/>
      <c r="AB22" s="13"/>
      <c r="AC22" s="13"/>
      <c r="AD22" s="11"/>
      <c r="AE22" s="13"/>
      <c r="AF22" s="264"/>
      <c r="AG22" s="264"/>
      <c r="AH22" s="11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4"/>
      <c r="AT22" s="264"/>
      <c r="AU22" s="264"/>
      <c r="AV22" s="12"/>
      <c r="AW22" s="13"/>
      <c r="AX22" s="13"/>
      <c r="AY22" s="379"/>
    </row>
    <row r="23" spans="1:59" ht="11.5">
      <c r="A23" s="41" t="s">
        <v>107</v>
      </c>
      <c r="B23" s="88">
        <v>1.62</v>
      </c>
      <c r="C23" s="89">
        <v>1.74</v>
      </c>
      <c r="D23" s="89">
        <v>1.99</v>
      </c>
      <c r="E23" s="89">
        <v>2.15</v>
      </c>
      <c r="F23" s="90">
        <v>2.36</v>
      </c>
      <c r="G23" s="89">
        <v>2.68</v>
      </c>
      <c r="H23" s="89">
        <v>3.43</v>
      </c>
      <c r="I23" s="89">
        <v>4.09</v>
      </c>
      <c r="J23" s="90">
        <v>4.97</v>
      </c>
      <c r="K23" s="89">
        <v>5.72</v>
      </c>
      <c r="L23" s="89">
        <v>6.74</v>
      </c>
      <c r="M23" s="89">
        <v>7.5</v>
      </c>
      <c r="N23" s="90">
        <v>8.3000000000000007</v>
      </c>
      <c r="O23" s="89">
        <v>9.1999999999999993</v>
      </c>
      <c r="P23" s="89">
        <v>10.9</v>
      </c>
      <c r="Q23" s="89">
        <v>12.7</v>
      </c>
      <c r="R23" s="90">
        <v>14</v>
      </c>
      <c r="S23" s="91">
        <v>14.4</v>
      </c>
      <c r="T23" s="89">
        <v>15.1</v>
      </c>
      <c r="U23" s="89">
        <v>16.2</v>
      </c>
      <c r="V23" s="90">
        <v>16.600000000000001</v>
      </c>
      <c r="W23" s="91">
        <v>16.989999999999998</v>
      </c>
      <c r="X23" s="89">
        <v>18.760000000000002</v>
      </c>
      <c r="Y23" s="89">
        <v>19.829999999999998</v>
      </c>
      <c r="Z23" s="90">
        <v>21.6</v>
      </c>
      <c r="AA23" s="91">
        <v>22.64</v>
      </c>
      <c r="AB23" s="89">
        <v>25.7</v>
      </c>
      <c r="AC23" s="89">
        <v>26.2</v>
      </c>
      <c r="AD23" s="90">
        <v>27.1</v>
      </c>
      <c r="AE23" s="69">
        <v>26.6</v>
      </c>
      <c r="AF23" s="92">
        <v>28.7</v>
      </c>
      <c r="AG23" s="92">
        <v>30.1</v>
      </c>
      <c r="AH23" s="67">
        <v>31.8</v>
      </c>
      <c r="AI23" s="92">
        <v>32.200000000000003</v>
      </c>
      <c r="AJ23" s="92">
        <v>32.799999999999997</v>
      </c>
      <c r="AK23" s="92">
        <v>33.799999999999997</v>
      </c>
      <c r="AL23" s="92">
        <v>35.6</v>
      </c>
      <c r="AM23" s="92">
        <v>36</v>
      </c>
      <c r="AN23" s="92">
        <v>36.9</v>
      </c>
      <c r="AO23" s="92">
        <v>35.9</v>
      </c>
      <c r="AP23" s="92">
        <v>35.799999999999997</v>
      </c>
      <c r="AQ23" s="92">
        <v>35.299999999999997</v>
      </c>
      <c r="AR23" s="92">
        <v>36.799999999999997</v>
      </c>
      <c r="AS23" s="92">
        <v>37.700000000000003</v>
      </c>
      <c r="AT23" s="92">
        <v>40</v>
      </c>
      <c r="AU23" s="92">
        <v>40</v>
      </c>
      <c r="AV23" s="43"/>
      <c r="AW23" s="191">
        <v>0.1331</v>
      </c>
      <c r="AX23" s="22">
        <v>0</v>
      </c>
      <c r="AY23" s="379"/>
      <c r="BF23" s="15"/>
      <c r="BG23" s="15"/>
    </row>
    <row r="24" spans="1:59" ht="11.5">
      <c r="A24" s="93" t="s">
        <v>109</v>
      </c>
      <c r="B24" s="94">
        <v>1.45</v>
      </c>
      <c r="C24" s="95">
        <v>1.61</v>
      </c>
      <c r="D24" s="95">
        <v>1.51</v>
      </c>
      <c r="E24" s="95">
        <v>1.68</v>
      </c>
      <c r="F24" s="96">
        <v>1.91</v>
      </c>
      <c r="G24" s="95">
        <v>2.0299999999999998</v>
      </c>
      <c r="H24" s="95">
        <v>2.38</v>
      </c>
      <c r="I24" s="95">
        <v>2.67</v>
      </c>
      <c r="J24" s="96">
        <v>3.2</v>
      </c>
      <c r="K24" s="95">
        <v>3.49</v>
      </c>
      <c r="L24" s="95">
        <v>4.13</v>
      </c>
      <c r="M24" s="95">
        <v>5.4</v>
      </c>
      <c r="N24" s="96">
        <v>6.2</v>
      </c>
      <c r="O24" s="95">
        <v>7</v>
      </c>
      <c r="P24" s="95">
        <v>8.1999999999999993</v>
      </c>
      <c r="Q24" s="95">
        <v>9.1999999999999993</v>
      </c>
      <c r="R24" s="96">
        <v>9.8000000000000007</v>
      </c>
      <c r="S24" s="91">
        <v>10.3</v>
      </c>
      <c r="T24" s="89">
        <v>10.1</v>
      </c>
      <c r="U24" s="89">
        <v>10.5</v>
      </c>
      <c r="V24" s="90">
        <v>11.19</v>
      </c>
      <c r="W24" s="91">
        <v>13.8</v>
      </c>
      <c r="X24" s="89">
        <v>16.260000000000002</v>
      </c>
      <c r="Y24" s="89">
        <v>16.079999999999998</v>
      </c>
      <c r="Z24" s="90">
        <v>16.47</v>
      </c>
      <c r="AA24" s="91">
        <v>16.34</v>
      </c>
      <c r="AB24" s="89">
        <v>17.28</v>
      </c>
      <c r="AC24" s="89">
        <v>20.9</v>
      </c>
      <c r="AD24" s="90">
        <v>23.5</v>
      </c>
      <c r="AE24" s="69">
        <v>20.6</v>
      </c>
      <c r="AF24" s="92">
        <v>21.6</v>
      </c>
      <c r="AG24" s="92">
        <v>23.1</v>
      </c>
      <c r="AH24" s="67">
        <v>24.7</v>
      </c>
      <c r="AI24" s="92">
        <v>25.1</v>
      </c>
      <c r="AJ24" s="92">
        <v>25.6</v>
      </c>
      <c r="AK24" s="92">
        <v>26.3</v>
      </c>
      <c r="AL24" s="92">
        <v>26.7</v>
      </c>
      <c r="AM24" s="92">
        <v>27.5</v>
      </c>
      <c r="AN24" s="92">
        <v>27.5</v>
      </c>
      <c r="AO24" s="92">
        <v>27.2</v>
      </c>
      <c r="AP24" s="92">
        <v>27</v>
      </c>
      <c r="AQ24" s="92">
        <v>27.9</v>
      </c>
      <c r="AR24" s="92">
        <v>29.8</v>
      </c>
      <c r="AS24" s="92">
        <v>31.1</v>
      </c>
      <c r="AT24" s="92">
        <v>32.1</v>
      </c>
      <c r="AU24" s="92">
        <v>33.200000000000003</v>
      </c>
      <c r="AV24" s="43"/>
      <c r="AW24" s="49">
        <v>0.19</v>
      </c>
      <c r="AX24" s="25">
        <v>3.4299999999999997E-2</v>
      </c>
      <c r="AY24" s="379"/>
      <c r="BF24" s="15"/>
      <c r="BG24" s="15"/>
    </row>
    <row r="25" spans="1:59" ht="11.5">
      <c r="A25" s="97" t="s">
        <v>115</v>
      </c>
      <c r="B25" s="98">
        <v>1.48</v>
      </c>
      <c r="C25" s="99">
        <v>1.63</v>
      </c>
      <c r="D25" s="99">
        <v>1.6</v>
      </c>
      <c r="E25" s="99">
        <v>1.77</v>
      </c>
      <c r="F25" s="100">
        <v>2</v>
      </c>
      <c r="G25" s="99">
        <v>2.16</v>
      </c>
      <c r="H25" s="99">
        <v>2.59</v>
      </c>
      <c r="I25" s="99">
        <v>2.96</v>
      </c>
      <c r="J25" s="100">
        <v>3.58</v>
      </c>
      <c r="K25" s="99">
        <v>3.97</v>
      </c>
      <c r="L25" s="99">
        <v>4.7300000000000004</v>
      </c>
      <c r="M25" s="99">
        <v>5.9</v>
      </c>
      <c r="N25" s="100">
        <v>6.7</v>
      </c>
      <c r="O25" s="99">
        <v>7.6</v>
      </c>
      <c r="P25" s="99">
        <v>8.9</v>
      </c>
      <c r="Q25" s="99">
        <v>10.1</v>
      </c>
      <c r="R25" s="100">
        <v>10.9</v>
      </c>
      <c r="S25" s="101">
        <v>11.4</v>
      </c>
      <c r="T25" s="99">
        <v>11.5</v>
      </c>
      <c r="U25" s="99">
        <v>12.1</v>
      </c>
      <c r="V25" s="100">
        <v>12.7</v>
      </c>
      <c r="W25" s="101">
        <v>14.7</v>
      </c>
      <c r="X25" s="99">
        <v>17</v>
      </c>
      <c r="Y25" s="99">
        <v>17.18</v>
      </c>
      <c r="Z25" s="100">
        <v>18.04</v>
      </c>
      <c r="AA25" s="101">
        <v>18.190000000000001</v>
      </c>
      <c r="AB25" s="99">
        <v>19.690000000000001</v>
      </c>
      <c r="AC25" s="99">
        <v>22.6</v>
      </c>
      <c r="AD25" s="100">
        <v>24.9</v>
      </c>
      <c r="AE25" s="102">
        <v>22.4</v>
      </c>
      <c r="AF25" s="102">
        <v>23.8</v>
      </c>
      <c r="AG25" s="102">
        <v>25.3</v>
      </c>
      <c r="AH25" s="103">
        <v>27</v>
      </c>
      <c r="AI25" s="102">
        <v>27.4</v>
      </c>
      <c r="AJ25" s="102">
        <v>27.9</v>
      </c>
      <c r="AK25" s="102">
        <v>28.7</v>
      </c>
      <c r="AL25" s="102">
        <v>29.6</v>
      </c>
      <c r="AM25" s="102">
        <v>30.2</v>
      </c>
      <c r="AN25" s="102">
        <v>30.5</v>
      </c>
      <c r="AO25" s="102">
        <v>29.9</v>
      </c>
      <c r="AP25" s="102">
        <v>29.8</v>
      </c>
      <c r="AQ25" s="102">
        <v>30.3</v>
      </c>
      <c r="AR25" s="102">
        <v>32.1</v>
      </c>
      <c r="AS25" s="102">
        <v>33.200000000000003</v>
      </c>
      <c r="AT25" s="102">
        <v>34.6</v>
      </c>
      <c r="AU25" s="102">
        <v>35.4</v>
      </c>
      <c r="AV25" s="43"/>
      <c r="AW25" s="383">
        <v>0.16830000000000001</v>
      </c>
      <c r="AX25" s="34">
        <v>2.3099999999999999E-2</v>
      </c>
      <c r="AY25" s="379"/>
    </row>
    <row r="26" spans="1:59" ht="11.5">
      <c r="A26" s="41" t="s">
        <v>116</v>
      </c>
      <c r="B26" s="62"/>
      <c r="C26" s="7"/>
      <c r="D26" s="7"/>
      <c r="E26" s="7"/>
      <c r="F26" s="63"/>
      <c r="G26" s="7"/>
      <c r="H26" s="7"/>
      <c r="I26" s="7"/>
      <c r="J26" s="63"/>
      <c r="K26" s="7"/>
      <c r="L26" s="7"/>
      <c r="M26" s="7"/>
      <c r="N26" s="63"/>
      <c r="O26" s="78"/>
      <c r="P26" s="78"/>
      <c r="Q26" s="78"/>
      <c r="R26" s="75"/>
      <c r="S26" s="104"/>
      <c r="T26" s="78"/>
      <c r="U26" s="78"/>
      <c r="V26" s="75"/>
      <c r="W26" s="104"/>
      <c r="X26" s="78"/>
      <c r="Y26" s="78"/>
      <c r="Z26" s="75"/>
      <c r="AA26" s="104"/>
      <c r="AB26" s="78"/>
      <c r="AC26" s="78"/>
      <c r="AD26" s="75"/>
      <c r="AE26" s="78"/>
      <c r="AF26" s="79"/>
      <c r="AG26" s="79"/>
      <c r="AH26" s="75"/>
      <c r="AI26" s="79"/>
      <c r="AJ26" s="79"/>
      <c r="AK26" s="79"/>
      <c r="AL26" s="79"/>
      <c r="AM26" s="79"/>
      <c r="AN26" s="79"/>
      <c r="AO26" s="79"/>
      <c r="AP26" s="79"/>
      <c r="AQ26" s="79"/>
      <c r="AR26" s="375"/>
      <c r="AS26" s="375"/>
      <c r="AT26" s="375"/>
      <c r="AU26" s="375"/>
      <c r="AV26" s="7"/>
      <c r="AW26" s="7"/>
      <c r="AX26" s="7"/>
      <c r="AY26" s="23"/>
    </row>
    <row r="27" spans="1:59" ht="11.5">
      <c r="A27" s="105"/>
      <c r="B27" s="62"/>
      <c r="C27" s="7"/>
      <c r="D27" s="7"/>
      <c r="E27" s="7"/>
      <c r="F27" s="63"/>
      <c r="G27" s="7"/>
      <c r="H27" s="7"/>
      <c r="I27" s="7"/>
      <c r="J27" s="63"/>
      <c r="K27" s="7"/>
      <c r="L27" s="7"/>
      <c r="M27" s="7"/>
      <c r="N27" s="63"/>
      <c r="O27" s="7"/>
      <c r="P27" s="7"/>
      <c r="Q27" s="7"/>
      <c r="R27" s="63"/>
      <c r="S27" s="64"/>
      <c r="T27" s="7"/>
      <c r="U27" s="7"/>
      <c r="V27" s="63"/>
      <c r="W27" s="64"/>
      <c r="X27" s="7"/>
      <c r="Y27" s="7"/>
      <c r="Z27" s="63"/>
      <c r="AA27" s="64"/>
      <c r="AB27" s="7"/>
      <c r="AC27" s="7"/>
      <c r="AD27" s="63"/>
      <c r="AE27" s="7"/>
      <c r="AF27" s="7"/>
      <c r="AG27" s="7"/>
      <c r="AH27" s="63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3"/>
    </row>
    <row r="28" spans="1:59" s="15" customFormat="1" ht="15" customHeight="1">
      <c r="A28" s="10" t="s">
        <v>117</v>
      </c>
      <c r="B28" s="11"/>
      <c r="C28" s="13"/>
      <c r="D28" s="13"/>
      <c r="E28" s="13"/>
      <c r="F28" s="11"/>
      <c r="G28" s="13"/>
      <c r="H28" s="13"/>
      <c r="I28" s="13"/>
      <c r="J28" s="11"/>
      <c r="K28" s="13"/>
      <c r="L28" s="13"/>
      <c r="M28" s="13"/>
      <c r="N28" s="11"/>
      <c r="O28" s="13"/>
      <c r="P28" s="13"/>
      <c r="Q28" s="13"/>
      <c r="R28" s="11"/>
      <c r="S28" s="263"/>
      <c r="T28" s="13"/>
      <c r="U28" s="13"/>
      <c r="V28" s="11"/>
      <c r="W28" s="263"/>
      <c r="X28" s="13"/>
      <c r="Y28" s="13"/>
      <c r="Z28" s="11"/>
      <c r="AA28" s="263"/>
      <c r="AB28" s="13"/>
      <c r="AC28" s="13"/>
      <c r="AD28" s="11"/>
      <c r="AE28" s="13"/>
      <c r="AF28" s="264"/>
      <c r="AG28" s="264"/>
      <c r="AH28" s="11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  <c r="AS28" s="264"/>
      <c r="AT28" s="264"/>
      <c r="AU28" s="264"/>
      <c r="AV28" s="12"/>
      <c r="AW28" s="7"/>
      <c r="AX28" s="7"/>
      <c r="AY28" s="23"/>
      <c r="BA28" s="8"/>
    </row>
    <row r="29" spans="1:59" s="24" customFormat="1" ht="15" customHeight="1">
      <c r="A29" s="16" t="s">
        <v>107</v>
      </c>
      <c r="B29" s="106">
        <v>1.7000000000000001E-2</v>
      </c>
      <c r="C29" s="22">
        <v>1.7000000000000001E-2</v>
      </c>
      <c r="D29" s="22">
        <v>1.7000000000000001E-2</v>
      </c>
      <c r="E29" s="22">
        <v>1.9E-2</v>
      </c>
      <c r="F29" s="107">
        <v>2.1999999999999999E-2</v>
      </c>
      <c r="G29" s="22">
        <v>2.3E-2</v>
      </c>
      <c r="H29" s="22">
        <v>1.9E-2</v>
      </c>
      <c r="I29" s="22">
        <v>1.7000000000000001E-2</v>
      </c>
      <c r="J29" s="107">
        <v>1.7999999999999999E-2</v>
      </c>
      <c r="K29" s="22">
        <v>1.7000000000000001E-2</v>
      </c>
      <c r="L29" s="22">
        <v>1.6E-2</v>
      </c>
      <c r="M29" s="22">
        <v>1.4999999999999999E-2</v>
      </c>
      <c r="N29" s="107">
        <v>1.6E-2</v>
      </c>
      <c r="O29" s="22">
        <v>1.4E-2</v>
      </c>
      <c r="P29" s="22">
        <v>1.4999999999999999E-2</v>
      </c>
      <c r="Q29" s="22">
        <v>1.4999999999999999E-2</v>
      </c>
      <c r="R29" s="107">
        <v>1.4E-2</v>
      </c>
      <c r="S29" s="108">
        <v>1.2999999999999999E-2</v>
      </c>
      <c r="T29" s="22">
        <v>1.4E-2</v>
      </c>
      <c r="U29" s="22">
        <v>1.4999999999999999E-2</v>
      </c>
      <c r="V29" s="107">
        <v>1.6E-2</v>
      </c>
      <c r="W29" s="108">
        <v>1.6E-2</v>
      </c>
      <c r="X29" s="22">
        <v>8.0000000000000002E-3</v>
      </c>
      <c r="Y29" s="22">
        <v>1.7999999999999999E-2</v>
      </c>
      <c r="Z29" s="107">
        <v>1.4E-2</v>
      </c>
      <c r="AA29" s="108">
        <v>1.2E-2</v>
      </c>
      <c r="AB29" s="22">
        <v>1.0999999999999999E-2</v>
      </c>
      <c r="AC29" s="22">
        <v>1.2E-2</v>
      </c>
      <c r="AD29" s="107">
        <v>1.2E-2</v>
      </c>
      <c r="AE29" s="22">
        <v>1.0999999999999999E-2</v>
      </c>
      <c r="AF29" s="109">
        <v>1.0999999999999999E-2</v>
      </c>
      <c r="AG29" s="109">
        <v>1.2E-2</v>
      </c>
      <c r="AH29" s="107">
        <v>1.2E-2</v>
      </c>
      <c r="AI29" s="109">
        <v>1.2E-2</v>
      </c>
      <c r="AJ29" s="109">
        <v>1.0999999999999999E-2</v>
      </c>
      <c r="AK29" s="109">
        <v>0.01</v>
      </c>
      <c r="AL29" s="109">
        <v>0.01</v>
      </c>
      <c r="AM29" s="109">
        <v>1.0316899183704351E-2</v>
      </c>
      <c r="AN29" s="109">
        <v>9.2373557985793702E-3</v>
      </c>
      <c r="AO29" s="109">
        <v>8.9999999999999993E-3</v>
      </c>
      <c r="AP29" s="109">
        <v>8.0000000000000002E-3</v>
      </c>
      <c r="AQ29" s="109">
        <v>8.0000000000000002E-3</v>
      </c>
      <c r="AR29" s="109">
        <v>9.3294447426439612E-3</v>
      </c>
      <c r="AS29" s="109">
        <v>8.0999999999999996E-3</v>
      </c>
      <c r="AT29" s="109">
        <v>9.3541370679814054E-3</v>
      </c>
      <c r="AU29" s="109">
        <v>7.6E-3</v>
      </c>
      <c r="AV29" s="22"/>
      <c r="AW29"/>
      <c r="AX29"/>
      <c r="AY29" s="23"/>
      <c r="BA29" s="8"/>
      <c r="BC29" s="15"/>
      <c r="BD29" s="15"/>
    </row>
    <row r="30" spans="1:59" s="24" customFormat="1" ht="15" customHeight="1">
      <c r="A30" s="16" t="s">
        <v>109</v>
      </c>
      <c r="B30" s="110">
        <v>3.7999999999999999E-2</v>
      </c>
      <c r="C30" s="111">
        <v>0.06</v>
      </c>
      <c r="D30" s="111">
        <v>4.3999999999999997E-2</v>
      </c>
      <c r="E30" s="111">
        <v>5.3999999999999999E-2</v>
      </c>
      <c r="F30" s="112">
        <v>0.03</v>
      </c>
      <c r="G30" s="111">
        <v>0.03</v>
      </c>
      <c r="H30" s="111">
        <v>3.3000000000000002E-2</v>
      </c>
      <c r="I30" s="111">
        <v>3.5000000000000003E-2</v>
      </c>
      <c r="J30" s="112">
        <v>3.3000000000000002E-2</v>
      </c>
      <c r="K30" s="111">
        <v>3.6999999999999998E-2</v>
      </c>
      <c r="L30" s="111">
        <v>3.6999999999999998E-2</v>
      </c>
      <c r="M30" s="111">
        <v>3.7999999999999999E-2</v>
      </c>
      <c r="N30" s="112">
        <v>3.7999999999999999E-2</v>
      </c>
      <c r="O30" s="111">
        <v>3.5999999999999997E-2</v>
      </c>
      <c r="P30" s="111">
        <v>3.5999999999999997E-2</v>
      </c>
      <c r="Q30" s="111">
        <v>3.4000000000000002E-2</v>
      </c>
      <c r="R30" s="112">
        <v>3.5999999999999997E-2</v>
      </c>
      <c r="S30" s="113">
        <v>3.5999999999999997E-2</v>
      </c>
      <c r="T30" s="111">
        <v>0.04</v>
      </c>
      <c r="U30" s="111">
        <v>4.1000000000000002E-2</v>
      </c>
      <c r="V30" s="112">
        <v>4.2000000000000003E-2</v>
      </c>
      <c r="W30" s="113">
        <v>4.2000000000000003E-2</v>
      </c>
      <c r="X30" s="111">
        <v>3.4000000000000002E-2</v>
      </c>
      <c r="Y30" s="111">
        <v>3.2000000000000001E-2</v>
      </c>
      <c r="Z30" s="112">
        <v>3.1E-2</v>
      </c>
      <c r="AA30" s="113">
        <v>2.9000000000000001E-2</v>
      </c>
      <c r="AB30" s="111">
        <v>3.1E-2</v>
      </c>
      <c r="AC30" s="111">
        <v>3.2000000000000001E-2</v>
      </c>
      <c r="AD30" s="112">
        <v>3.2800000000000003E-2</v>
      </c>
      <c r="AE30" s="111">
        <v>3.3000000000000002E-2</v>
      </c>
      <c r="AF30" s="114">
        <v>3.5000000000000003E-2</v>
      </c>
      <c r="AG30" s="114">
        <v>0.04</v>
      </c>
      <c r="AH30" s="112">
        <v>0.04</v>
      </c>
      <c r="AI30" s="114">
        <v>4.1300000000000003E-2</v>
      </c>
      <c r="AJ30" s="114">
        <v>4.4699999999999997E-2</v>
      </c>
      <c r="AK30" s="114">
        <v>0.04</v>
      </c>
      <c r="AL30" s="114">
        <v>3.3000000000000002E-2</v>
      </c>
      <c r="AM30" s="114">
        <v>3.0638449066548324E-2</v>
      </c>
      <c r="AN30" s="114">
        <v>3.1762684937739087E-2</v>
      </c>
      <c r="AO30" s="114">
        <v>3.4000000000000002E-2</v>
      </c>
      <c r="AP30" s="114">
        <v>0.04</v>
      </c>
      <c r="AQ30" s="114">
        <v>0.03</v>
      </c>
      <c r="AR30" s="114">
        <v>2.576114243060448E-2</v>
      </c>
      <c r="AS30" s="114">
        <v>2.46E-2</v>
      </c>
      <c r="AT30" s="114">
        <v>2.3543292586307423E-2</v>
      </c>
      <c r="AU30" s="114">
        <v>2.3400000000000001E-2</v>
      </c>
      <c r="AV30" s="111"/>
      <c r="AW30"/>
      <c r="AX30"/>
      <c r="AY30" s="23"/>
      <c r="BC30" s="15"/>
      <c r="BD30" s="15"/>
    </row>
    <row r="31" spans="1:59" s="173" customFormat="1" ht="15" customHeight="1">
      <c r="A31" s="115" t="s">
        <v>115</v>
      </c>
      <c r="B31" s="116">
        <v>3.5999999999999997E-2</v>
      </c>
      <c r="C31" s="34">
        <v>5.5E-2</v>
      </c>
      <c r="D31" s="34">
        <v>4.1000000000000002E-2</v>
      </c>
      <c r="E31" s="34">
        <v>0.05</v>
      </c>
      <c r="F31" s="117">
        <v>2.9000000000000001E-2</v>
      </c>
      <c r="G31" s="34">
        <v>2.9000000000000001E-2</v>
      </c>
      <c r="H31" s="34">
        <v>3.2000000000000001E-2</v>
      </c>
      <c r="I31" s="34">
        <v>3.3000000000000002E-2</v>
      </c>
      <c r="J31" s="117">
        <v>3.1E-2</v>
      </c>
      <c r="K31" s="34">
        <v>3.4000000000000002E-2</v>
      </c>
      <c r="L31" s="34">
        <v>3.3000000000000002E-2</v>
      </c>
      <c r="M31" s="34">
        <v>3.4000000000000002E-2</v>
      </c>
      <c r="N31" s="117">
        <v>3.4000000000000002E-2</v>
      </c>
      <c r="O31" s="34">
        <v>3.2000000000000001E-2</v>
      </c>
      <c r="P31" s="34">
        <v>3.2000000000000001E-2</v>
      </c>
      <c r="Q31" s="34">
        <v>0.03</v>
      </c>
      <c r="R31" s="117">
        <v>3.2000000000000001E-2</v>
      </c>
      <c r="S31" s="118">
        <v>3.2000000000000001E-2</v>
      </c>
      <c r="T31" s="119">
        <v>3.5000000000000003E-2</v>
      </c>
      <c r="U31" s="119">
        <v>3.5999999999999997E-2</v>
      </c>
      <c r="V31" s="120">
        <v>3.5999999999999997E-2</v>
      </c>
      <c r="W31" s="118">
        <v>3.6999999999999998E-2</v>
      </c>
      <c r="X31" s="119">
        <v>2.9000000000000001E-2</v>
      </c>
      <c r="Y31" s="119">
        <v>2.9000000000000001E-2</v>
      </c>
      <c r="Z31" s="120">
        <v>2.7E-2</v>
      </c>
      <c r="AA31" s="118">
        <v>2.5000000000000001E-2</v>
      </c>
      <c r="AB31" s="119">
        <v>2.5999999999999999E-2</v>
      </c>
      <c r="AC31" s="119">
        <v>2.8000000000000001E-2</v>
      </c>
      <c r="AD31" s="120">
        <v>2.8000000000000001E-2</v>
      </c>
      <c r="AE31" s="119">
        <v>2.8000000000000001E-2</v>
      </c>
      <c r="AF31" s="119">
        <v>2.9000000000000001E-2</v>
      </c>
      <c r="AG31" s="119">
        <v>3.3000000000000002E-2</v>
      </c>
      <c r="AH31" s="120">
        <v>3.3000000000000002E-2</v>
      </c>
      <c r="AI31" s="119">
        <v>3.3799999999999997E-2</v>
      </c>
      <c r="AJ31" s="119">
        <v>3.61E-2</v>
      </c>
      <c r="AK31" s="119">
        <v>3.2000000000000001E-2</v>
      </c>
      <c r="AL31" s="119">
        <v>2.7E-2</v>
      </c>
      <c r="AM31" s="119">
        <v>2.5000000000000001E-2</v>
      </c>
      <c r="AN31" s="119">
        <v>2.5811058204906853E-2</v>
      </c>
      <c r="AO31" s="119">
        <v>2.8000000000000001E-2</v>
      </c>
      <c r="AP31" s="119">
        <v>3.2000000000000001E-2</v>
      </c>
      <c r="AQ31" s="119">
        <v>2.4E-2</v>
      </c>
      <c r="AR31" s="119">
        <v>2.1228029764011294E-2</v>
      </c>
      <c r="AS31" s="119">
        <v>0.02</v>
      </c>
      <c r="AT31" s="119">
        <v>1.9564484675342057E-2</v>
      </c>
      <c r="AU31" s="119">
        <v>1.9E-2</v>
      </c>
      <c r="AV31" s="22"/>
      <c r="AW31"/>
      <c r="AX31"/>
      <c r="AY31" s="23"/>
    </row>
    <row r="32" spans="1:59" s="173" customFormat="1" ht="11.5">
      <c r="A32" s="121"/>
      <c r="B32" s="122"/>
      <c r="C32" s="123"/>
      <c r="D32" s="123"/>
      <c r="E32" s="123"/>
      <c r="F32" s="124"/>
      <c r="G32" s="123"/>
      <c r="H32" s="123"/>
      <c r="I32" s="123"/>
      <c r="J32" s="124"/>
      <c r="K32" s="123"/>
      <c r="L32" s="123"/>
      <c r="M32" s="123"/>
      <c r="N32" s="124"/>
      <c r="O32" s="123"/>
      <c r="P32" s="123"/>
      <c r="Q32" s="123"/>
      <c r="R32" s="124"/>
      <c r="S32" s="125"/>
      <c r="T32" s="126"/>
      <c r="U32" s="126"/>
      <c r="V32" s="124"/>
      <c r="W32" s="125"/>
      <c r="X32" s="126"/>
      <c r="Y32" s="126"/>
      <c r="Z32" s="124"/>
      <c r="AA32" s="125"/>
      <c r="AB32" s="126"/>
      <c r="AC32" s="126"/>
      <c r="AD32" s="124"/>
      <c r="AE32" s="123"/>
      <c r="AF32" s="123"/>
      <c r="AG32" s="123"/>
      <c r="AH32" s="124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09"/>
      <c r="AW32" s="123"/>
      <c r="AX32" s="123"/>
      <c r="AY32" s="23"/>
    </row>
    <row r="33" spans="1:56" ht="11.5">
      <c r="A33" s="105"/>
      <c r="B33" s="110"/>
      <c r="C33" s="7"/>
      <c r="D33" s="7"/>
      <c r="E33" s="7"/>
      <c r="F33" s="112"/>
      <c r="G33" s="7"/>
      <c r="H33" s="7"/>
      <c r="I33" s="7"/>
      <c r="J33" s="112"/>
      <c r="K33" s="7"/>
      <c r="L33" s="7"/>
      <c r="M33" s="7"/>
      <c r="N33" s="127"/>
      <c r="O33" s="7"/>
      <c r="P33" s="7"/>
      <c r="Q33" s="7"/>
      <c r="R33" s="127"/>
      <c r="S33" s="64"/>
      <c r="T33" s="7"/>
      <c r="U33" s="7"/>
      <c r="V33" s="63"/>
      <c r="W33" s="64"/>
      <c r="X33" s="7"/>
      <c r="Y33" s="7"/>
      <c r="Z33" s="63"/>
      <c r="AA33" s="64"/>
      <c r="AB33" s="7"/>
      <c r="AC33" s="7"/>
      <c r="AD33" s="63"/>
      <c r="AE33" s="7"/>
      <c r="AF33" s="7"/>
      <c r="AG33" s="7"/>
      <c r="AH33" s="63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23"/>
      <c r="BC33" s="173"/>
      <c r="BD33" s="173"/>
    </row>
    <row r="34" spans="1:56" s="15" customFormat="1" ht="11.5">
      <c r="A34" s="10" t="s">
        <v>118</v>
      </c>
      <c r="B34" s="11"/>
      <c r="C34" s="13"/>
      <c r="D34" s="13"/>
      <c r="E34" s="13"/>
      <c r="F34" s="11"/>
      <c r="G34" s="13"/>
      <c r="H34" s="13"/>
      <c r="I34" s="13"/>
      <c r="J34" s="11"/>
      <c r="K34" s="13"/>
      <c r="L34" s="13"/>
      <c r="M34" s="13"/>
      <c r="N34" s="11"/>
      <c r="O34" s="13"/>
      <c r="P34" s="13"/>
      <c r="Q34" s="13"/>
      <c r="R34" s="11"/>
      <c r="S34" s="263"/>
      <c r="T34" s="13"/>
      <c r="U34" s="13"/>
      <c r="V34" s="11"/>
      <c r="W34" s="263"/>
      <c r="X34" s="13"/>
      <c r="Y34" s="13"/>
      <c r="Z34" s="11"/>
      <c r="AA34" s="263"/>
      <c r="AB34" s="13"/>
      <c r="AC34" s="13"/>
      <c r="AD34" s="11"/>
      <c r="AE34" s="13"/>
      <c r="AF34" s="264"/>
      <c r="AG34" s="264"/>
      <c r="AH34" s="11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12"/>
      <c r="AW34" s="13"/>
      <c r="AX34" s="13"/>
      <c r="AY34" s="23"/>
    </row>
    <row r="35" spans="1:56" s="14" customFormat="1" ht="12" hidden="1" customHeight="1" outlineLevel="1">
      <c r="A35" s="128" t="s">
        <v>107</v>
      </c>
      <c r="B35" s="42">
        <v>639</v>
      </c>
      <c r="C35" s="43">
        <v>629</v>
      </c>
      <c r="D35" s="43">
        <v>627</v>
      </c>
      <c r="E35" s="43">
        <v>630</v>
      </c>
      <c r="F35" s="44">
        <v>612</v>
      </c>
      <c r="G35" s="43">
        <v>608</v>
      </c>
      <c r="H35" s="43">
        <v>608</v>
      </c>
      <c r="I35" s="43">
        <v>597</v>
      </c>
      <c r="J35" s="44">
        <v>600</v>
      </c>
      <c r="K35" s="43">
        <v>579</v>
      </c>
      <c r="L35" s="43">
        <v>593</v>
      </c>
      <c r="M35" s="43">
        <v>590</v>
      </c>
      <c r="N35" s="44">
        <v>581</v>
      </c>
      <c r="O35" s="43">
        <v>577</v>
      </c>
      <c r="P35" s="43">
        <v>573</v>
      </c>
      <c r="Q35" s="43">
        <v>561</v>
      </c>
      <c r="R35" s="44">
        <v>571</v>
      </c>
      <c r="S35" s="129">
        <v>564</v>
      </c>
      <c r="T35" s="43">
        <v>571</v>
      </c>
      <c r="U35" s="43">
        <v>569</v>
      </c>
      <c r="V35" s="44">
        <v>572</v>
      </c>
      <c r="W35" s="130"/>
      <c r="X35" s="131"/>
      <c r="Y35" s="131"/>
      <c r="Z35" s="132"/>
      <c r="AA35" s="130"/>
      <c r="AB35" s="131"/>
      <c r="AC35" s="131"/>
      <c r="AD35" s="132"/>
      <c r="AE35" s="131"/>
      <c r="AF35" s="131"/>
      <c r="AG35" s="131"/>
      <c r="AH35" s="132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43"/>
      <c r="AW35" s="133"/>
      <c r="AX35" s="133"/>
      <c r="AY35" s="23"/>
    </row>
    <row r="36" spans="1:56" s="14" customFormat="1" ht="12" hidden="1" customHeight="1" outlineLevel="1">
      <c r="A36" s="128" t="s">
        <v>109</v>
      </c>
      <c r="B36" s="42">
        <v>173</v>
      </c>
      <c r="C36" s="43">
        <v>178</v>
      </c>
      <c r="D36" s="43">
        <v>188</v>
      </c>
      <c r="E36" s="43">
        <v>192</v>
      </c>
      <c r="F36" s="44">
        <v>195</v>
      </c>
      <c r="G36" s="43">
        <v>194</v>
      </c>
      <c r="H36" s="43">
        <v>188</v>
      </c>
      <c r="I36" s="43">
        <v>186</v>
      </c>
      <c r="J36" s="44">
        <v>186</v>
      </c>
      <c r="K36" s="43">
        <v>181</v>
      </c>
      <c r="L36" s="43">
        <v>182</v>
      </c>
      <c r="M36" s="43">
        <v>182</v>
      </c>
      <c r="N36" s="44">
        <v>183</v>
      </c>
      <c r="O36" s="43">
        <v>184</v>
      </c>
      <c r="P36" s="43">
        <v>183</v>
      </c>
      <c r="Q36" s="43">
        <v>179</v>
      </c>
      <c r="R36" s="44">
        <v>176</v>
      </c>
      <c r="S36" s="129">
        <v>174</v>
      </c>
      <c r="T36" s="43">
        <v>182</v>
      </c>
      <c r="U36" s="43">
        <v>179</v>
      </c>
      <c r="V36" s="44">
        <v>173</v>
      </c>
      <c r="W36" s="130"/>
      <c r="X36" s="131"/>
      <c r="Y36" s="131"/>
      <c r="Z36" s="132"/>
      <c r="AA36" s="130"/>
      <c r="AB36" s="131"/>
      <c r="AC36" s="131"/>
      <c r="AD36" s="132"/>
      <c r="AE36" s="131"/>
      <c r="AF36" s="131"/>
      <c r="AG36" s="131"/>
      <c r="AH36" s="132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43"/>
      <c r="AW36" s="133"/>
      <c r="AX36" s="133"/>
      <c r="AY36" s="23"/>
    </row>
    <row r="37" spans="1:56" ht="12" hidden="1" customHeight="1" outlineLevel="1">
      <c r="A37" s="97" t="s">
        <v>115</v>
      </c>
      <c r="B37" s="134">
        <v>222</v>
      </c>
      <c r="C37" s="135">
        <v>228</v>
      </c>
      <c r="D37" s="135">
        <v>242</v>
      </c>
      <c r="E37" s="135">
        <v>249</v>
      </c>
      <c r="F37" s="136">
        <v>254</v>
      </c>
      <c r="G37" s="135">
        <v>251</v>
      </c>
      <c r="H37" s="135">
        <v>248</v>
      </c>
      <c r="I37" s="135">
        <v>248</v>
      </c>
      <c r="J37" s="136">
        <v>251</v>
      </c>
      <c r="K37" s="135">
        <v>244</v>
      </c>
      <c r="L37" s="135">
        <v>251</v>
      </c>
      <c r="M37" s="135">
        <v>254</v>
      </c>
      <c r="N37" s="136">
        <v>256</v>
      </c>
      <c r="O37" s="135">
        <v>258</v>
      </c>
      <c r="P37" s="135">
        <v>259</v>
      </c>
      <c r="Q37" s="135">
        <v>254</v>
      </c>
      <c r="R37" s="136">
        <v>255</v>
      </c>
      <c r="S37" s="137">
        <v>253</v>
      </c>
      <c r="T37" s="135">
        <v>263</v>
      </c>
      <c r="U37" s="135">
        <v>263</v>
      </c>
      <c r="V37" s="136">
        <v>260</v>
      </c>
      <c r="W37" s="130"/>
      <c r="X37" s="131"/>
      <c r="Y37" s="131"/>
      <c r="Z37" s="132"/>
      <c r="AA37" s="130"/>
      <c r="AB37" s="131"/>
      <c r="AC37" s="131"/>
      <c r="AD37" s="132"/>
      <c r="AE37" s="131"/>
      <c r="AF37" s="131"/>
      <c r="AG37" s="131"/>
      <c r="AH37" s="132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43"/>
      <c r="AW37" s="133"/>
      <c r="AX37" s="133"/>
      <c r="AY37" s="23"/>
    </row>
    <row r="38" spans="1:56" s="24" customFormat="1" ht="11.5" collapsed="1">
      <c r="A38" s="128" t="s">
        <v>119</v>
      </c>
      <c r="B38" s="42"/>
      <c r="C38" s="43"/>
      <c r="D38" s="43"/>
      <c r="E38" s="43"/>
      <c r="F38" s="44"/>
      <c r="G38" s="43"/>
      <c r="H38" s="43"/>
      <c r="I38" s="43"/>
      <c r="J38" s="138" t="s">
        <v>120</v>
      </c>
      <c r="K38" s="139"/>
      <c r="L38" s="139" t="s">
        <v>120</v>
      </c>
      <c r="M38" s="139" t="s">
        <v>120</v>
      </c>
      <c r="N38" s="138" t="s">
        <v>120</v>
      </c>
      <c r="O38" s="140" t="s">
        <v>120</v>
      </c>
      <c r="P38" s="140" t="s">
        <v>120</v>
      </c>
      <c r="Q38" s="140" t="s">
        <v>120</v>
      </c>
      <c r="R38" s="138" t="s">
        <v>120</v>
      </c>
      <c r="S38" s="64">
        <v>529</v>
      </c>
      <c r="T38" s="141">
        <v>537</v>
      </c>
      <c r="U38" s="141">
        <v>531</v>
      </c>
      <c r="V38" s="142">
        <v>537</v>
      </c>
      <c r="W38" s="143">
        <v>525</v>
      </c>
      <c r="X38" s="141">
        <v>523</v>
      </c>
      <c r="Y38" s="141">
        <v>498</v>
      </c>
      <c r="Z38" s="142">
        <v>486</v>
      </c>
      <c r="AA38" s="143">
        <v>480</v>
      </c>
      <c r="AB38" s="141">
        <v>471</v>
      </c>
      <c r="AC38" s="141">
        <v>470</v>
      </c>
      <c r="AD38" s="142">
        <v>473</v>
      </c>
      <c r="AE38" s="141">
        <v>460</v>
      </c>
      <c r="AF38" s="141">
        <v>460</v>
      </c>
      <c r="AG38" s="141">
        <v>453</v>
      </c>
      <c r="AH38" s="142">
        <v>455</v>
      </c>
      <c r="AI38" s="141">
        <v>449</v>
      </c>
      <c r="AJ38" s="141">
        <v>448</v>
      </c>
      <c r="AK38" s="141">
        <v>446</v>
      </c>
      <c r="AL38" s="141">
        <v>449</v>
      </c>
      <c r="AM38" s="141">
        <v>448</v>
      </c>
      <c r="AN38" s="141">
        <v>448</v>
      </c>
      <c r="AO38" s="141">
        <v>443</v>
      </c>
      <c r="AP38" s="141">
        <v>443</v>
      </c>
      <c r="AQ38" s="433" t="s">
        <v>278</v>
      </c>
      <c r="AR38" s="433" t="s">
        <v>249</v>
      </c>
      <c r="AS38" s="433" t="s">
        <v>248</v>
      </c>
      <c r="AT38" s="433" t="s">
        <v>249</v>
      </c>
      <c r="AU38" s="434">
        <v>436</v>
      </c>
      <c r="AV38" s="144"/>
      <c r="AW38" s="22">
        <v>-6.4000000000000003E-3</v>
      </c>
      <c r="AX38" s="133">
        <v>-1.01E-2</v>
      </c>
    </row>
    <row r="39" spans="1:56" s="24" customFormat="1" ht="11.5">
      <c r="A39" s="128" t="s">
        <v>121</v>
      </c>
      <c r="B39" s="42"/>
      <c r="C39" s="43"/>
      <c r="D39" s="43"/>
      <c r="E39" s="43"/>
      <c r="F39" s="44"/>
      <c r="G39" s="43"/>
      <c r="H39" s="43"/>
      <c r="I39" s="43"/>
      <c r="J39" s="138" t="s">
        <v>120</v>
      </c>
      <c r="K39" s="139" t="s">
        <v>120</v>
      </c>
      <c r="L39" s="139" t="s">
        <v>120</v>
      </c>
      <c r="M39" s="139" t="s">
        <v>120</v>
      </c>
      <c r="N39" s="138" t="s">
        <v>120</v>
      </c>
      <c r="O39" s="140" t="s">
        <v>120</v>
      </c>
      <c r="P39" s="140" t="s">
        <v>120</v>
      </c>
      <c r="Q39" s="140" t="s">
        <v>120</v>
      </c>
      <c r="R39" s="138" t="s">
        <v>120</v>
      </c>
      <c r="S39" s="64">
        <v>174</v>
      </c>
      <c r="T39" s="141">
        <v>182</v>
      </c>
      <c r="U39" s="141">
        <v>179</v>
      </c>
      <c r="V39" s="142">
        <v>173</v>
      </c>
      <c r="W39" s="143">
        <v>162</v>
      </c>
      <c r="X39" s="141">
        <v>156</v>
      </c>
      <c r="Y39" s="141">
        <v>157</v>
      </c>
      <c r="Z39" s="142">
        <v>154</v>
      </c>
      <c r="AA39" s="143">
        <v>150</v>
      </c>
      <c r="AB39" s="141">
        <v>142</v>
      </c>
      <c r="AC39" s="141">
        <v>138</v>
      </c>
      <c r="AD39" s="142">
        <v>136</v>
      </c>
      <c r="AE39" s="141">
        <v>129</v>
      </c>
      <c r="AF39" s="141">
        <v>127</v>
      </c>
      <c r="AG39" s="141">
        <v>123</v>
      </c>
      <c r="AH39" s="142">
        <v>123</v>
      </c>
      <c r="AI39" s="141">
        <v>120</v>
      </c>
      <c r="AJ39" s="141">
        <v>123</v>
      </c>
      <c r="AK39" s="141">
        <v>125</v>
      </c>
      <c r="AL39" s="141">
        <v>133</v>
      </c>
      <c r="AM39" s="141">
        <v>135</v>
      </c>
      <c r="AN39" s="141">
        <v>137</v>
      </c>
      <c r="AO39" s="141">
        <v>137</v>
      </c>
      <c r="AP39" s="141">
        <v>143</v>
      </c>
      <c r="AQ39" s="141">
        <v>143</v>
      </c>
      <c r="AR39" s="141">
        <v>148</v>
      </c>
      <c r="AS39" s="141">
        <v>150</v>
      </c>
      <c r="AT39" s="141">
        <v>158</v>
      </c>
      <c r="AU39" s="141">
        <v>155</v>
      </c>
      <c r="AV39" s="144"/>
      <c r="AW39" s="25">
        <v>8.4500000000000006E-2</v>
      </c>
      <c r="AX39" s="376">
        <v>-1.3100000000000001E-2</v>
      </c>
    </row>
    <row r="40" spans="1:56" s="24" customFormat="1" ht="11.5">
      <c r="A40" s="97" t="s">
        <v>122</v>
      </c>
      <c r="B40" s="134"/>
      <c r="C40" s="135"/>
      <c r="D40" s="135"/>
      <c r="E40" s="135"/>
      <c r="F40" s="136"/>
      <c r="G40" s="135"/>
      <c r="H40" s="135"/>
      <c r="I40" s="135"/>
      <c r="J40" s="146" t="s">
        <v>120</v>
      </c>
      <c r="K40" s="147" t="s">
        <v>120</v>
      </c>
      <c r="L40" s="147" t="s">
        <v>120</v>
      </c>
      <c r="M40" s="147" t="s">
        <v>120</v>
      </c>
      <c r="N40" s="146" t="s">
        <v>120</v>
      </c>
      <c r="O40" s="148" t="s">
        <v>120</v>
      </c>
      <c r="P40" s="148" t="s">
        <v>120</v>
      </c>
      <c r="Q40" s="148" t="s">
        <v>120</v>
      </c>
      <c r="R40" s="146" t="s">
        <v>120</v>
      </c>
      <c r="S40" s="149">
        <v>246</v>
      </c>
      <c r="T40" s="150">
        <v>256</v>
      </c>
      <c r="U40" s="150">
        <v>255</v>
      </c>
      <c r="V40" s="151">
        <v>252</v>
      </c>
      <c r="W40" s="152">
        <v>242</v>
      </c>
      <c r="X40" s="150">
        <v>239</v>
      </c>
      <c r="Y40" s="150">
        <v>237</v>
      </c>
      <c r="Z40" s="151">
        <v>234</v>
      </c>
      <c r="AA40" s="152">
        <v>232</v>
      </c>
      <c r="AB40" s="150">
        <v>225</v>
      </c>
      <c r="AC40" s="150">
        <v>223</v>
      </c>
      <c r="AD40" s="151">
        <v>224</v>
      </c>
      <c r="AE40" s="150">
        <v>216</v>
      </c>
      <c r="AF40" s="150">
        <v>215</v>
      </c>
      <c r="AG40" s="150">
        <v>212</v>
      </c>
      <c r="AH40" s="151">
        <v>213</v>
      </c>
      <c r="AI40" s="150">
        <v>210</v>
      </c>
      <c r="AJ40" s="150">
        <v>213</v>
      </c>
      <c r="AK40" s="150">
        <v>216</v>
      </c>
      <c r="AL40" s="150">
        <v>223</v>
      </c>
      <c r="AM40" s="150">
        <v>224</v>
      </c>
      <c r="AN40" s="150">
        <v>224</v>
      </c>
      <c r="AO40" s="150">
        <v>223</v>
      </c>
      <c r="AP40" s="150">
        <v>228</v>
      </c>
      <c r="AQ40" s="435" t="s">
        <v>263</v>
      </c>
      <c r="AR40" s="435" t="s">
        <v>264</v>
      </c>
      <c r="AS40" s="435" t="s">
        <v>265</v>
      </c>
      <c r="AT40" s="435" t="s">
        <v>266</v>
      </c>
      <c r="AU40" s="435" t="s">
        <v>267</v>
      </c>
      <c r="AV40" s="144"/>
      <c r="AW40" s="119">
        <v>4.2000000000000003E-2</v>
      </c>
      <c r="AX40" s="377">
        <v>-9.4000000000000004E-3</v>
      </c>
      <c r="AY40" s="23"/>
    </row>
    <row r="41" spans="1:56" s="14" customFormat="1" ht="20.5">
      <c r="A41" s="432" t="s">
        <v>262</v>
      </c>
      <c r="B41" s="153"/>
      <c r="C41" s="154"/>
      <c r="D41" s="154"/>
      <c r="E41" s="154"/>
      <c r="F41" s="155"/>
      <c r="G41" s="154"/>
      <c r="H41" s="154"/>
      <c r="I41" s="154"/>
      <c r="J41" s="155"/>
      <c r="K41" s="154"/>
      <c r="L41" s="154"/>
      <c r="M41" s="154"/>
      <c r="N41" s="155"/>
      <c r="O41" s="154"/>
      <c r="P41" s="154"/>
      <c r="Q41" s="154"/>
      <c r="R41" s="155"/>
      <c r="S41" s="156"/>
      <c r="T41" s="154"/>
      <c r="U41" s="154"/>
      <c r="V41" s="157"/>
      <c r="W41" s="156"/>
      <c r="X41" s="154"/>
      <c r="Y41" s="154"/>
      <c r="Z41" s="157"/>
      <c r="AA41" s="156"/>
      <c r="AB41" s="154"/>
      <c r="AC41" s="154"/>
      <c r="AD41" s="157"/>
      <c r="AE41" s="154"/>
      <c r="AF41" s="154"/>
      <c r="AG41" s="154"/>
      <c r="AH41" s="157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23"/>
    </row>
    <row r="42" spans="1:56" ht="11.5">
      <c r="A42" s="158"/>
      <c r="B42" s="153"/>
      <c r="C42" s="7"/>
      <c r="D42" s="7"/>
      <c r="E42" s="7"/>
      <c r="F42" s="155"/>
      <c r="G42" s="7"/>
      <c r="H42" s="7"/>
      <c r="I42" s="7"/>
      <c r="J42" s="155"/>
      <c r="K42" s="7"/>
      <c r="L42" s="7"/>
      <c r="M42" s="7"/>
      <c r="N42" s="155"/>
      <c r="O42" s="7"/>
      <c r="P42" s="7"/>
      <c r="Q42" s="7"/>
      <c r="R42" s="155"/>
      <c r="S42" s="64"/>
      <c r="T42" s="7"/>
      <c r="U42" s="7"/>
      <c r="V42" s="63"/>
      <c r="W42" s="64"/>
      <c r="X42" s="7"/>
      <c r="Y42" s="7"/>
      <c r="Z42" s="63"/>
      <c r="AA42" s="64"/>
      <c r="AB42" s="7"/>
      <c r="AC42" s="7"/>
      <c r="AD42" s="63"/>
      <c r="AE42" s="7"/>
      <c r="AF42" s="7"/>
      <c r="AG42" s="7"/>
      <c r="AH42" s="63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23"/>
    </row>
    <row r="43" spans="1:56" s="15" customFormat="1" ht="11.5">
      <c r="A43" s="265" t="s">
        <v>123</v>
      </c>
      <c r="B43" s="11"/>
      <c r="C43" s="13"/>
      <c r="D43" s="13"/>
      <c r="E43" s="13"/>
      <c r="F43" s="11"/>
      <c r="G43" s="13"/>
      <c r="H43" s="13"/>
      <c r="I43" s="13"/>
      <c r="J43" s="11"/>
      <c r="K43" s="13"/>
      <c r="L43" s="13"/>
      <c r="M43" s="13"/>
      <c r="N43" s="11"/>
      <c r="O43" s="13"/>
      <c r="P43" s="13"/>
      <c r="Q43" s="13"/>
      <c r="R43" s="11"/>
      <c r="S43" s="263"/>
      <c r="T43" s="13"/>
      <c r="U43" s="13"/>
      <c r="V43" s="11"/>
      <c r="W43" s="263"/>
      <c r="X43" s="13"/>
      <c r="Y43" s="13"/>
      <c r="Z43" s="11"/>
      <c r="AA43" s="263"/>
      <c r="AB43" s="13"/>
      <c r="AC43" s="13"/>
      <c r="AD43" s="11"/>
      <c r="AE43" s="13"/>
      <c r="AF43" s="264"/>
      <c r="AG43" s="264"/>
      <c r="AH43" s="11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12"/>
      <c r="AW43" s="13"/>
      <c r="AX43" s="13"/>
      <c r="AY43" s="23"/>
    </row>
    <row r="44" spans="1:56" ht="11.5">
      <c r="A44" s="41" t="s">
        <v>124</v>
      </c>
      <c r="B44" s="159" t="s">
        <v>120</v>
      </c>
      <c r="C44" s="46">
        <v>5300</v>
      </c>
      <c r="D44" s="46">
        <v>12000</v>
      </c>
      <c r="E44" s="46">
        <v>26000</v>
      </c>
      <c r="F44" s="45">
        <v>44000</v>
      </c>
      <c r="G44" s="46">
        <v>72000</v>
      </c>
      <c r="H44" s="46">
        <v>115000</v>
      </c>
      <c r="I44" s="46">
        <v>195000</v>
      </c>
      <c r="J44" s="45">
        <v>301500</v>
      </c>
      <c r="K44" s="46">
        <v>373900</v>
      </c>
      <c r="L44" s="46">
        <v>445900</v>
      </c>
      <c r="M44" s="46">
        <v>481500</v>
      </c>
      <c r="N44" s="45">
        <v>521200</v>
      </c>
      <c r="O44" s="46">
        <v>571800</v>
      </c>
      <c r="P44" s="46">
        <v>623400</v>
      </c>
      <c r="Q44" s="46">
        <v>676700</v>
      </c>
      <c r="R44" s="45">
        <v>730500</v>
      </c>
      <c r="S44" s="47">
        <v>795000</v>
      </c>
      <c r="T44" s="46">
        <v>855400</v>
      </c>
      <c r="U44" s="46">
        <v>937000</v>
      </c>
      <c r="V44" s="45">
        <v>1037600</v>
      </c>
      <c r="W44" s="47">
        <v>1090400</v>
      </c>
      <c r="X44" s="46">
        <v>1202600</v>
      </c>
      <c r="Y44" s="46">
        <v>1255500</v>
      </c>
      <c r="Z44" s="45">
        <v>1336900</v>
      </c>
      <c r="AA44" s="47">
        <v>1431900</v>
      </c>
      <c r="AB44" s="46">
        <v>1535900</v>
      </c>
      <c r="AC44" s="46">
        <v>1668900</v>
      </c>
      <c r="AD44" s="45">
        <v>1772000</v>
      </c>
      <c r="AE44" s="46">
        <v>1865100</v>
      </c>
      <c r="AF44" s="48">
        <v>1971400</v>
      </c>
      <c r="AG44" s="48">
        <v>2085900</v>
      </c>
      <c r="AH44" s="45">
        <v>2169200</v>
      </c>
      <c r="AI44" s="48">
        <v>2268200</v>
      </c>
      <c r="AJ44" s="48">
        <v>2328700</v>
      </c>
      <c r="AK44" s="48">
        <v>2380700</v>
      </c>
      <c r="AL44" s="48">
        <v>4742300</v>
      </c>
      <c r="AM44" s="48">
        <v>4815000</v>
      </c>
      <c r="AN44" s="48">
        <v>4881900</v>
      </c>
      <c r="AO44" s="48">
        <v>4944800</v>
      </c>
      <c r="AP44" s="48">
        <v>5008900</v>
      </c>
      <c r="AQ44" s="48">
        <v>5068600</v>
      </c>
      <c r="AR44" s="48">
        <v>5136500</v>
      </c>
      <c r="AS44" s="48">
        <v>5204500</v>
      </c>
      <c r="AT44" s="48">
        <v>5242500</v>
      </c>
      <c r="AU44" s="48">
        <v>5305900</v>
      </c>
      <c r="AV44" s="79"/>
      <c r="AW44" s="22">
        <v>4.6800000000000001E-2</v>
      </c>
      <c r="AX44" s="22">
        <v>1.21E-2</v>
      </c>
      <c r="AY44" s="23"/>
    </row>
    <row r="45" spans="1:56" ht="11.5">
      <c r="A45" s="41" t="s">
        <v>125</v>
      </c>
      <c r="B45" s="159" t="s">
        <v>120</v>
      </c>
      <c r="C45" s="46" t="s">
        <v>120</v>
      </c>
      <c r="D45" s="46">
        <f t="shared" ref="D45:M45" si="6">D44-C44</f>
        <v>6700</v>
      </c>
      <c r="E45" s="46">
        <f t="shared" si="6"/>
        <v>14000</v>
      </c>
      <c r="F45" s="45">
        <f t="shared" si="6"/>
        <v>18000</v>
      </c>
      <c r="G45" s="46">
        <f t="shared" si="6"/>
        <v>28000</v>
      </c>
      <c r="H45" s="46">
        <f t="shared" si="6"/>
        <v>43000</v>
      </c>
      <c r="I45" s="46">
        <f t="shared" si="6"/>
        <v>80000</v>
      </c>
      <c r="J45" s="45">
        <f>J44-I44</f>
        <v>106500</v>
      </c>
      <c r="K45" s="46">
        <f t="shared" si="6"/>
        <v>72400</v>
      </c>
      <c r="L45" s="46">
        <f t="shared" si="6"/>
        <v>72000</v>
      </c>
      <c r="M45" s="46">
        <f t="shared" si="6"/>
        <v>35600</v>
      </c>
      <c r="N45" s="45">
        <f>N44-M44</f>
        <v>39700</v>
      </c>
      <c r="O45" s="46">
        <f>O44-N44</f>
        <v>50600</v>
      </c>
      <c r="P45" s="46">
        <v>51600</v>
      </c>
      <c r="Q45" s="46">
        <v>53300</v>
      </c>
      <c r="R45" s="45">
        <v>53800</v>
      </c>
      <c r="S45" s="47">
        <v>64500</v>
      </c>
      <c r="T45" s="46">
        <v>60400</v>
      </c>
      <c r="U45" s="46">
        <v>81600</v>
      </c>
      <c r="V45" s="45">
        <v>100600</v>
      </c>
      <c r="W45" s="47">
        <v>52800</v>
      </c>
      <c r="X45" s="46">
        <v>112200</v>
      </c>
      <c r="Y45" s="46">
        <v>52900</v>
      </c>
      <c r="Z45" s="45">
        <v>81400</v>
      </c>
      <c r="AA45" s="47">
        <v>95000</v>
      </c>
      <c r="AB45" s="46">
        <v>104000</v>
      </c>
      <c r="AC45" s="46">
        <v>133000</v>
      </c>
      <c r="AD45" s="45">
        <v>103100</v>
      </c>
      <c r="AE45" s="46">
        <v>93100</v>
      </c>
      <c r="AF45" s="48">
        <v>106300</v>
      </c>
      <c r="AG45" s="48">
        <v>114500</v>
      </c>
      <c r="AH45" s="45">
        <v>83300</v>
      </c>
      <c r="AI45" s="48">
        <v>99000</v>
      </c>
      <c r="AJ45" s="48">
        <v>60500</v>
      </c>
      <c r="AK45" s="48">
        <v>52000</v>
      </c>
      <c r="AL45" s="201" t="s">
        <v>126</v>
      </c>
      <c r="AM45" s="48">
        <v>72700</v>
      </c>
      <c r="AN45" s="48">
        <v>66900</v>
      </c>
      <c r="AO45" s="48">
        <v>62900</v>
      </c>
      <c r="AP45" s="48">
        <v>64100</v>
      </c>
      <c r="AQ45" s="48">
        <v>59700</v>
      </c>
      <c r="AR45" s="48">
        <v>67900</v>
      </c>
      <c r="AS45" s="48">
        <v>68000</v>
      </c>
      <c r="AT45" s="48">
        <v>38000</v>
      </c>
      <c r="AU45" s="48">
        <v>63400</v>
      </c>
      <c r="AV45" s="43"/>
      <c r="AW45" s="25">
        <v>6.2E-2</v>
      </c>
      <c r="AX45" s="49">
        <v>0.66839999999999999</v>
      </c>
      <c r="AY45" s="50"/>
    </row>
    <row r="46" spans="1:56" ht="11.5">
      <c r="A46" s="160" t="s">
        <v>127</v>
      </c>
      <c r="B46" s="161"/>
      <c r="C46" s="162" t="s">
        <v>120</v>
      </c>
      <c r="D46" s="163">
        <v>216</v>
      </c>
      <c r="E46" s="163">
        <v>667</v>
      </c>
      <c r="F46" s="57">
        <v>615</v>
      </c>
      <c r="G46" s="58">
        <v>583</v>
      </c>
      <c r="H46" s="58">
        <v>520</v>
      </c>
      <c r="I46" s="58">
        <v>498</v>
      </c>
      <c r="J46" s="57">
        <v>510</v>
      </c>
      <c r="K46" s="58">
        <v>541</v>
      </c>
      <c r="L46" s="58">
        <v>600</v>
      </c>
      <c r="M46" s="58">
        <v>637</v>
      </c>
      <c r="N46" s="57">
        <v>635</v>
      </c>
      <c r="O46" s="58">
        <v>618</v>
      </c>
      <c r="P46" s="58">
        <v>610</v>
      </c>
      <c r="Q46" s="58">
        <v>573</v>
      </c>
      <c r="R46" s="57">
        <v>574</v>
      </c>
      <c r="S46" s="164">
        <v>563</v>
      </c>
      <c r="T46" s="58">
        <v>558</v>
      </c>
      <c r="U46" s="58">
        <v>549</v>
      </c>
      <c r="V46" s="163">
        <v>533</v>
      </c>
      <c r="W46" s="164">
        <v>514</v>
      </c>
      <c r="X46" s="58">
        <v>489</v>
      </c>
      <c r="Y46" s="58">
        <v>484</v>
      </c>
      <c r="Z46" s="163">
        <v>476</v>
      </c>
      <c r="AA46" s="164">
        <v>462</v>
      </c>
      <c r="AB46" s="58">
        <v>458</v>
      </c>
      <c r="AC46" s="58">
        <v>455</v>
      </c>
      <c r="AD46" s="163">
        <v>444</v>
      </c>
      <c r="AE46" s="58">
        <v>446</v>
      </c>
      <c r="AF46" s="58">
        <v>432</v>
      </c>
      <c r="AG46" s="58">
        <v>418</v>
      </c>
      <c r="AH46" s="163">
        <v>407</v>
      </c>
      <c r="AI46" s="58">
        <v>407</v>
      </c>
      <c r="AJ46" s="58">
        <v>414</v>
      </c>
      <c r="AK46" s="58">
        <v>428</v>
      </c>
      <c r="AL46" s="58">
        <v>490</v>
      </c>
      <c r="AM46" s="58">
        <v>496</v>
      </c>
      <c r="AN46" s="58">
        <v>501</v>
      </c>
      <c r="AO46" s="58">
        <v>504.57979890276681</v>
      </c>
      <c r="AP46" s="58">
        <v>509.15693451725832</v>
      </c>
      <c r="AQ46" s="58">
        <v>517.85130461960443</v>
      </c>
      <c r="AR46" s="58">
        <v>518.70348054606438</v>
      </c>
      <c r="AS46" s="58">
        <v>527.96227230515115</v>
      </c>
      <c r="AT46" s="58">
        <v>529.51948966023826</v>
      </c>
      <c r="AU46" s="58">
        <v>537.9</v>
      </c>
      <c r="AV46" s="65"/>
      <c r="AW46" s="34">
        <v>3.8699999999999998E-2</v>
      </c>
      <c r="AX46" s="34">
        <v>1.5800000000000002E-2</v>
      </c>
      <c r="AY46" s="23"/>
    </row>
    <row r="47" spans="1:56" ht="11.5">
      <c r="A47" s="63" t="s">
        <v>128</v>
      </c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6" ht="11.5">
      <c r="A48" s="63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61" ht="11.5">
      <c r="A49" s="63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X49" s="7"/>
    </row>
    <row r="50" spans="1:61" customFormat="1" ht="14">
      <c r="A50" s="400" t="s">
        <v>255</v>
      </c>
      <c r="B50" s="398" t="s">
        <v>83</v>
      </c>
      <c r="C50" s="398" t="s">
        <v>84</v>
      </c>
      <c r="D50" s="398" t="s">
        <v>85</v>
      </c>
      <c r="E50" s="398" t="s">
        <v>86</v>
      </c>
      <c r="F50" s="398" t="s">
        <v>87</v>
      </c>
      <c r="G50" s="398" t="s">
        <v>88</v>
      </c>
      <c r="H50" s="398" t="s">
        <v>89</v>
      </c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404"/>
      <c r="BC50" s="404"/>
      <c r="BD50" s="404"/>
      <c r="BE50" s="404"/>
      <c r="BF50" s="323"/>
      <c r="BH50" s="178"/>
      <c r="BI50" s="178"/>
    </row>
    <row r="51" spans="1:61" customFormat="1" ht="14">
      <c r="A51" s="128" t="s">
        <v>256</v>
      </c>
      <c r="B51" s="399">
        <v>31811</v>
      </c>
      <c r="C51" s="399">
        <v>31908</v>
      </c>
      <c r="D51" s="399">
        <v>32080</v>
      </c>
      <c r="E51" s="399">
        <v>31556</v>
      </c>
      <c r="F51" s="399">
        <v>31019</v>
      </c>
      <c r="G51" s="399">
        <v>31269</v>
      </c>
      <c r="H51" s="399">
        <v>31335</v>
      </c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178"/>
      <c r="W51" s="401"/>
      <c r="X51" s="401"/>
      <c r="Y51" s="401"/>
      <c r="Z51" s="401"/>
      <c r="AA51" s="401"/>
      <c r="AB51" s="401"/>
      <c r="AC51" s="401"/>
      <c r="AD51" s="401"/>
      <c r="AE51" s="401"/>
      <c r="AF51" s="401"/>
      <c r="AG51" s="401"/>
      <c r="AH51" s="401"/>
      <c r="AI51" s="401"/>
      <c r="AJ51" s="401"/>
      <c r="AK51" s="401"/>
      <c r="AL51" s="401"/>
      <c r="AM51" s="401"/>
      <c r="AN51" s="401"/>
      <c r="AO51" s="401"/>
      <c r="AP51" s="401"/>
      <c r="AQ51" s="410">
        <v>440</v>
      </c>
      <c r="AR51" s="410">
        <v>442</v>
      </c>
      <c r="AS51" s="410">
        <v>440</v>
      </c>
      <c r="AT51" s="410">
        <v>441.48</v>
      </c>
      <c r="AU51" s="401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H51" s="178"/>
      <c r="BI51" s="178"/>
    </row>
    <row r="52" spans="1:61" customFormat="1" ht="14">
      <c r="A52" s="128" t="s">
        <v>258</v>
      </c>
      <c r="B52" s="399">
        <v>31510</v>
      </c>
      <c r="C52" s="399">
        <v>31678</v>
      </c>
      <c r="D52" s="399">
        <v>31870</v>
      </c>
      <c r="E52" s="399">
        <v>31396</v>
      </c>
      <c r="F52" s="399">
        <v>30879</v>
      </c>
      <c r="G52" s="399">
        <v>31113</v>
      </c>
      <c r="H52" s="399">
        <v>31540</v>
      </c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178"/>
      <c r="W52" s="401"/>
      <c r="X52" s="401"/>
      <c r="Y52" s="401"/>
      <c r="Z52" s="401"/>
      <c r="AA52" s="401"/>
      <c r="AB52" s="401"/>
      <c r="AC52" s="401"/>
      <c r="AD52" s="401"/>
      <c r="AE52" s="401"/>
      <c r="AF52" s="401"/>
      <c r="AG52" s="401"/>
      <c r="AH52" s="401"/>
      <c r="AI52" s="401"/>
      <c r="AJ52" s="401"/>
      <c r="AK52" s="401"/>
      <c r="AL52" s="401"/>
      <c r="AM52" s="401"/>
      <c r="AN52" s="401"/>
      <c r="AO52" s="401"/>
      <c r="AP52" s="401"/>
      <c r="AQ52" s="409">
        <v>439.04544699852897</v>
      </c>
      <c r="AR52" s="409">
        <v>440.76702283287625</v>
      </c>
      <c r="AS52" s="409">
        <v>439.6729564049038</v>
      </c>
      <c r="AT52" s="409">
        <v>440.69056988615921</v>
      </c>
      <c r="AU52" s="401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H52" s="178"/>
      <c r="BI52" s="178"/>
    </row>
    <row r="53" spans="1:61" customFormat="1" ht="14">
      <c r="A53" s="128" t="s">
        <v>257</v>
      </c>
      <c r="B53" s="399"/>
      <c r="C53" s="399"/>
      <c r="D53" s="399"/>
      <c r="E53" s="399"/>
      <c r="F53" s="399"/>
      <c r="G53" s="399"/>
      <c r="H53" s="399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178"/>
      <c r="W53" s="401"/>
      <c r="X53" s="401"/>
      <c r="Y53" s="401"/>
      <c r="Z53" s="401"/>
      <c r="AA53" s="401"/>
      <c r="AB53" s="401"/>
      <c r="AC53" s="401"/>
      <c r="AD53" s="401"/>
      <c r="AE53" s="401"/>
      <c r="AF53" s="401"/>
      <c r="AG53" s="401"/>
      <c r="AH53" s="401"/>
      <c r="AI53" s="401"/>
      <c r="AJ53" s="401"/>
      <c r="AK53" s="401"/>
      <c r="AL53" s="401"/>
      <c r="AM53" s="401"/>
      <c r="AN53" s="401"/>
      <c r="AO53" s="401"/>
      <c r="AP53" s="401"/>
      <c r="AQ53" s="403">
        <v>227.99360307951173</v>
      </c>
      <c r="AR53" s="403">
        <v>232.70538028229316</v>
      </c>
      <c r="AS53" s="403">
        <v>234.05031211453593</v>
      </c>
      <c r="AT53" s="403">
        <v>239.91875492687211</v>
      </c>
      <c r="AU53" s="401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H53" s="178"/>
      <c r="BI53" s="178"/>
    </row>
    <row r="54" spans="1:61" customFormat="1" ht="14">
      <c r="A54" s="128" t="s">
        <v>259</v>
      </c>
      <c r="B54" s="399">
        <v>39787</v>
      </c>
      <c r="C54" s="399">
        <v>39908</v>
      </c>
      <c r="D54" s="399">
        <v>40199</v>
      </c>
      <c r="E54" s="399">
        <v>39680</v>
      </c>
      <c r="F54" s="399">
        <v>38985</v>
      </c>
      <c r="G54" s="399">
        <v>39431</v>
      </c>
      <c r="H54" s="399">
        <v>39635</v>
      </c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178"/>
      <c r="W54" s="401"/>
      <c r="X54" s="401"/>
      <c r="Y54" s="401"/>
      <c r="Z54" s="401"/>
      <c r="AA54" s="401"/>
      <c r="AB54" s="401"/>
      <c r="AC54" s="401"/>
      <c r="AD54" s="401"/>
      <c r="AE54" s="401"/>
      <c r="AF54" s="401"/>
      <c r="AG54" s="401"/>
      <c r="AH54" s="401"/>
      <c r="AI54" s="401"/>
      <c r="AJ54" s="401"/>
      <c r="AK54" s="401"/>
      <c r="AL54" s="401"/>
      <c r="AM54" s="401"/>
      <c r="AN54" s="401"/>
      <c r="AO54" s="401"/>
      <c r="AP54" s="401"/>
      <c r="AQ54" s="411">
        <v>228</v>
      </c>
      <c r="AR54" s="411">
        <v>233</v>
      </c>
      <c r="AS54" s="411">
        <v>234</v>
      </c>
      <c r="AT54" s="411">
        <v>240.15</v>
      </c>
      <c r="AU54" s="401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H54" s="178"/>
      <c r="BI54" s="178"/>
    </row>
    <row r="55" spans="1:61" ht="11.5">
      <c r="A55" s="63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X55" s="7"/>
    </row>
    <row r="56" spans="1:61" ht="11.25" customHeight="1">
      <c r="A56" s="63" t="s">
        <v>129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61" ht="11.25" customHeight="1">
      <c r="A57" s="63" t="s">
        <v>130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7"/>
      <c r="AW57" s="7"/>
      <c r="AX57" s="7"/>
    </row>
    <row r="58" spans="1:61" ht="11.25" customHeight="1">
      <c r="A58" s="166" t="s">
        <v>131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61" s="167" customFormat="1" ht="11.25" customHeight="1">
      <c r="B59" s="168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87"/>
      <c r="AW59" s="87"/>
      <c r="AX59" s="87"/>
    </row>
    <row r="60" spans="1:61" s="167" customFormat="1" ht="11.25" customHeight="1">
      <c r="A60" s="169"/>
      <c r="B60" s="170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</row>
    <row r="61" spans="1:61" s="174" customFormat="1" ht="11.5">
      <c r="A61" s="10" t="s">
        <v>52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1"/>
      <c r="AW61" s="171"/>
      <c r="AX61" s="171"/>
      <c r="AY61" s="172"/>
    </row>
    <row r="68" spans="6:6">
      <c r="F68" s="177"/>
    </row>
  </sheetData>
  <mergeCells count="11">
    <mergeCell ref="W4:Z4"/>
    <mergeCell ref="C4:F4"/>
    <mergeCell ref="G4:J4"/>
    <mergeCell ref="K4:N4"/>
    <mergeCell ref="O4:R4"/>
    <mergeCell ref="S4:U4"/>
    <mergeCell ref="AA4:AD4"/>
    <mergeCell ref="AE4:AH4"/>
    <mergeCell ref="AI4:AL4"/>
    <mergeCell ref="AM4:AP4"/>
    <mergeCell ref="AQ4:AT4"/>
  </mergeCells>
  <phoneticPr fontId="45" type="noConversion"/>
  <hyperlinks>
    <hyperlink ref="A58" r:id="rId1" xr:uid="{FF66498A-6E94-4861-B643-515826FADA86}"/>
  </hyperlinks>
  <pageMargins left="0.25" right="0.25" top="0.75" bottom="0.75" header="0.3" footer="0.3"/>
  <pageSetup paperSize="9" scale="72" fitToHeight="0" orientation="landscape" r:id="rId2"/>
  <headerFooter>
    <oddHeader>&amp;C&amp;"Calibri"&amp;10&amp;K000000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59C2-2B10-4445-B28A-F8E0B53717D5}">
  <dimension ref="A1:N23"/>
  <sheetViews>
    <sheetView zoomScale="145" zoomScaleNormal="145" workbookViewId="0">
      <pane xSplit="1" topLeftCell="H1" activePane="topRight" state="frozen"/>
      <selection pane="topRight" activeCell="I11" sqref="I11"/>
    </sheetView>
  </sheetViews>
  <sheetFormatPr defaultColWidth="8.58203125" defaultRowHeight="11.5"/>
  <cols>
    <col min="1" max="1" width="62.58203125" style="178" bestFit="1" customWidth="1"/>
    <col min="2" max="10" width="12.83203125" style="178" customWidth="1"/>
    <col min="11" max="12" width="8.58203125" style="178"/>
    <col min="13" max="13" width="12.1640625" style="178" bestFit="1" customWidth="1"/>
    <col min="14" max="16384" width="8.58203125" style="178"/>
  </cols>
  <sheetData>
    <row r="1" spans="1:14">
      <c r="A1" s="5" t="s">
        <v>244</v>
      </c>
    </row>
    <row r="2" spans="1:14">
      <c r="A2" s="9" t="s">
        <v>260</v>
      </c>
    </row>
    <row r="4" spans="1:14">
      <c r="A4" s="10" t="s">
        <v>132</v>
      </c>
      <c r="B4" s="283" t="s">
        <v>133</v>
      </c>
      <c r="C4" s="283" t="s">
        <v>134</v>
      </c>
      <c r="D4" s="283" t="s">
        <v>135</v>
      </c>
      <c r="E4" s="283" t="s">
        <v>136</v>
      </c>
      <c r="F4" s="283" t="s">
        <v>137</v>
      </c>
      <c r="G4" s="283" t="s">
        <v>138</v>
      </c>
      <c r="H4" s="283" t="s">
        <v>139</v>
      </c>
      <c r="I4" s="283" t="s">
        <v>140</v>
      </c>
      <c r="J4" s="283" t="s">
        <v>245</v>
      </c>
    </row>
    <row r="5" spans="1:14">
      <c r="A5" s="9" t="s">
        <v>141</v>
      </c>
      <c r="B5" s="145">
        <v>29952.23</v>
      </c>
      <c r="C5" s="145">
        <v>53918.21</v>
      </c>
      <c r="D5" s="145">
        <v>84615.79</v>
      </c>
      <c r="E5" s="145">
        <v>116622.15</v>
      </c>
      <c r="F5" s="145">
        <v>32890.160000000003</v>
      </c>
      <c r="G5" s="145">
        <v>55978.04</v>
      </c>
      <c r="H5" s="145">
        <v>87430.39</v>
      </c>
      <c r="I5" s="145">
        <v>120809.61</v>
      </c>
      <c r="J5" s="145">
        <v>30743.77</v>
      </c>
      <c r="M5" s="145"/>
      <c r="N5" s="206"/>
    </row>
    <row r="6" spans="1:14">
      <c r="A6" s="9" t="s">
        <v>142</v>
      </c>
      <c r="B6" s="145">
        <v>8556.6200000000008</v>
      </c>
      <c r="C6" s="145">
        <v>16848.16</v>
      </c>
      <c r="D6" s="145">
        <v>28878.18</v>
      </c>
      <c r="E6" s="145">
        <v>36931.699999999997</v>
      </c>
      <c r="F6" s="145">
        <v>10568.8</v>
      </c>
      <c r="G6" s="145">
        <v>20992.29</v>
      </c>
      <c r="H6" s="145">
        <v>41399.71</v>
      </c>
      <c r="I6" s="145">
        <v>47235.27</v>
      </c>
      <c r="J6" s="145">
        <v>12923.48</v>
      </c>
      <c r="M6" s="145"/>
      <c r="N6" s="206"/>
    </row>
    <row r="7" spans="1:14">
      <c r="A7" s="9" t="s">
        <v>143</v>
      </c>
      <c r="B7" s="145">
        <v>4460.17</v>
      </c>
      <c r="C7" s="145">
        <v>8640.91</v>
      </c>
      <c r="D7" s="145">
        <v>13120.66</v>
      </c>
      <c r="E7" s="145">
        <v>17524.13</v>
      </c>
      <c r="F7" s="145">
        <v>4368.1099999999997</v>
      </c>
      <c r="G7" s="145">
        <v>8845.02</v>
      </c>
      <c r="H7" s="145">
        <v>12672.57</v>
      </c>
      <c r="I7" s="145">
        <v>16080.03</v>
      </c>
      <c r="J7" s="145">
        <v>3581.86</v>
      </c>
      <c r="M7" s="145"/>
      <c r="N7" s="206"/>
    </row>
    <row r="8" spans="1:14">
      <c r="A8" s="282" t="s">
        <v>144</v>
      </c>
      <c r="B8" s="262">
        <v>16935.45</v>
      </c>
      <c r="C8" s="262">
        <v>28429.14</v>
      </c>
      <c r="D8" s="262">
        <v>42616.95</v>
      </c>
      <c r="E8" s="262">
        <v>62166.31</v>
      </c>
      <c r="F8" s="262">
        <v>17953.259999999998</v>
      </c>
      <c r="G8" s="262">
        <v>26140.73</v>
      </c>
      <c r="H8" s="262">
        <v>33358.11</v>
      </c>
      <c r="I8" s="262">
        <v>57494.3</v>
      </c>
      <c r="J8" s="262">
        <v>14238.43</v>
      </c>
      <c r="M8" s="145"/>
      <c r="N8" s="206"/>
    </row>
    <row r="9" spans="1:14">
      <c r="A9" s="281" t="s">
        <v>145</v>
      </c>
    </row>
    <row r="10" spans="1:14">
      <c r="G10" s="206"/>
      <c r="H10" s="206"/>
      <c r="I10" s="206"/>
      <c r="J10" s="206"/>
    </row>
    <row r="11" spans="1:14">
      <c r="B11" s="206"/>
      <c r="C11" s="206"/>
      <c r="D11" s="206"/>
      <c r="E11" s="206"/>
      <c r="F11" s="206"/>
      <c r="G11" s="206"/>
      <c r="H11" s="206"/>
      <c r="I11" s="206"/>
      <c r="J11" s="206"/>
    </row>
    <row r="12" spans="1:14">
      <c r="A12" s="63" t="s">
        <v>129</v>
      </c>
    </row>
    <row r="13" spans="1:14">
      <c r="A13" s="63" t="s">
        <v>130</v>
      </c>
      <c r="B13" s="206"/>
      <c r="C13" s="206"/>
      <c r="D13" s="206"/>
      <c r="E13" s="206"/>
      <c r="F13" s="206"/>
      <c r="G13" s="206"/>
      <c r="H13" s="206"/>
      <c r="I13" s="206"/>
      <c r="J13" s="206"/>
    </row>
    <row r="14" spans="1:14" ht="12.5">
      <c r="A14" s="385" t="s">
        <v>131</v>
      </c>
      <c r="B14" s="206"/>
      <c r="C14" s="206"/>
      <c r="D14" s="206"/>
      <c r="E14" s="206"/>
      <c r="F14" s="206"/>
      <c r="G14" s="206"/>
      <c r="H14" s="206"/>
      <c r="I14" s="206"/>
      <c r="J14" s="206"/>
    </row>
    <row r="15" spans="1:14">
      <c r="B15" s="206"/>
      <c r="C15" s="206"/>
      <c r="D15" s="206"/>
      <c r="E15" s="206"/>
      <c r="F15" s="206"/>
      <c r="G15" s="206"/>
      <c r="H15" s="206"/>
      <c r="I15" s="206"/>
      <c r="J15" s="206"/>
    </row>
    <row r="16" spans="1:14">
      <c r="B16" s="206"/>
      <c r="C16" s="206"/>
      <c r="D16" s="206"/>
      <c r="E16" s="206"/>
      <c r="F16" s="206"/>
      <c r="G16" s="206"/>
      <c r="H16" s="206"/>
      <c r="I16" s="206"/>
      <c r="J16" s="206"/>
    </row>
    <row r="17" spans="2:10">
      <c r="B17" s="206"/>
      <c r="C17" s="206"/>
      <c r="D17" s="206"/>
      <c r="E17" s="206"/>
      <c r="F17" s="206"/>
      <c r="G17" s="206"/>
      <c r="H17" s="206"/>
      <c r="I17" s="206"/>
      <c r="J17" s="206"/>
    </row>
    <row r="18" spans="2:10">
      <c r="B18" s="206"/>
      <c r="C18" s="206"/>
      <c r="D18" s="206"/>
      <c r="E18" s="206"/>
      <c r="F18" s="206"/>
      <c r="G18" s="206"/>
      <c r="H18" s="206"/>
      <c r="I18" s="206"/>
      <c r="J18" s="206"/>
    </row>
    <row r="20" spans="2:10">
      <c r="B20" s="206"/>
      <c r="C20" s="206"/>
      <c r="D20" s="206"/>
      <c r="E20" s="206"/>
      <c r="F20" s="206"/>
      <c r="G20" s="206"/>
      <c r="H20" s="206"/>
      <c r="I20" s="206"/>
      <c r="J20" s="206"/>
    </row>
    <row r="22" spans="2:10">
      <c r="B22" s="206"/>
      <c r="C22" s="206"/>
      <c r="D22" s="206"/>
      <c r="E22" s="206"/>
      <c r="F22" s="206"/>
      <c r="G22" s="206"/>
      <c r="H22" s="206"/>
      <c r="I22" s="206"/>
      <c r="J22" s="206"/>
    </row>
    <row r="23" spans="2:10">
      <c r="B23" s="206"/>
      <c r="C23" s="206"/>
      <c r="D23" s="206"/>
      <c r="E23" s="206"/>
      <c r="F23" s="206"/>
      <c r="G23" s="206"/>
      <c r="H23" s="206"/>
      <c r="I23" s="206"/>
      <c r="J23" s="206"/>
    </row>
  </sheetData>
  <phoneticPr fontId="45" type="noConversion"/>
  <hyperlinks>
    <hyperlink ref="A14" r:id="rId1" xr:uid="{4312D8DE-BA07-4C2D-81FD-4DD733D21409}"/>
  </hyperlinks>
  <pageMargins left="0.7" right="0.7" top="0.75" bottom="0.75" header="0.3" footer="0.3"/>
  <headerFooter>
    <oddHeader>&amp;C&amp;"Calibri"&amp;10&amp;K000000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3494-7974-42B5-889C-B71A785E40EB}">
  <sheetPr>
    <pageSetUpPr fitToPage="1"/>
  </sheetPr>
  <dimension ref="A1:BN86"/>
  <sheetViews>
    <sheetView zoomScale="70" zoomScaleNormal="70" workbookViewId="0">
      <pane xSplit="1" ySplit="6" topLeftCell="AY7" activePane="bottomRight" state="frozen"/>
      <selection pane="topRight" activeCell="B1" sqref="B1"/>
      <selection pane="bottomLeft" activeCell="A5" sqref="A5"/>
      <selection pane="bottomRight" activeCell="BB12" sqref="BB12"/>
    </sheetView>
  </sheetViews>
  <sheetFormatPr defaultColWidth="9.08203125" defaultRowHeight="14" outlineLevelCol="1"/>
  <cols>
    <col min="1" max="1" width="42" style="178" customWidth="1"/>
    <col min="2" max="5" width="7.33203125" style="178" hidden="1" customWidth="1" outlineLevel="1"/>
    <col min="6" max="6" width="7.58203125" style="178" hidden="1" customWidth="1" outlineLevel="1" collapsed="1"/>
    <col min="7" max="21" width="7.58203125" style="178" hidden="1" customWidth="1" outlineLevel="1"/>
    <col min="22" max="22" width="5.58203125" style="178" hidden="1" customWidth="1" outlineLevel="1"/>
    <col min="23" max="32" width="7.58203125" style="178" hidden="1" customWidth="1" outlineLevel="1"/>
    <col min="33" max="33" width="6.08203125" style="178" hidden="1" customWidth="1" outlineLevel="1"/>
    <col min="34" max="34" width="10" style="178" customWidth="1" collapsed="1"/>
    <col min="35" max="58" width="10" style="178" customWidth="1"/>
    <col min="59" max="59" width="5.33203125" customWidth="1"/>
    <col min="60" max="60" width="10" style="178" customWidth="1"/>
    <col min="61" max="61" width="9.08203125" style="178" customWidth="1"/>
  </cols>
  <sheetData>
    <row r="1" spans="1:61">
      <c r="A1" s="5" t="s">
        <v>244</v>
      </c>
    </row>
    <row r="2" spans="1:61">
      <c r="A2" s="9" t="s">
        <v>146</v>
      </c>
    </row>
    <row r="3" spans="1:61">
      <c r="AQ3" s="23"/>
      <c r="AR3" s="23"/>
      <c r="AS3" s="23"/>
      <c r="AU3" s="23"/>
      <c r="AV3" s="23"/>
      <c r="AW3" s="23"/>
    </row>
    <row r="4" spans="1:61" ht="12" customHeight="1">
      <c r="B4" s="419" t="s">
        <v>147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  <c r="U4" s="419"/>
      <c r="W4" s="420" t="s">
        <v>148</v>
      </c>
      <c r="X4" s="420"/>
      <c r="Y4" s="420"/>
      <c r="Z4" s="420"/>
      <c r="AA4" s="420"/>
      <c r="AB4" s="420"/>
      <c r="AC4" s="420"/>
      <c r="AD4" s="420"/>
      <c r="AE4" s="180"/>
      <c r="AF4" s="180"/>
      <c r="AH4" s="420" t="s">
        <v>149</v>
      </c>
      <c r="AI4" s="420"/>
      <c r="AJ4" s="420"/>
      <c r="AK4" s="420"/>
      <c r="AL4" s="181"/>
      <c r="AM4" s="181"/>
      <c r="AN4" s="181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H4" s="182"/>
      <c r="BI4" s="182"/>
    </row>
    <row r="5" spans="1:61" ht="12" customHeight="1">
      <c r="A5" s="266" t="s">
        <v>150</v>
      </c>
      <c r="B5" s="414">
        <v>2015</v>
      </c>
      <c r="C5" s="414"/>
      <c r="D5" s="414"/>
      <c r="E5" s="416"/>
      <c r="F5" s="415">
        <v>2016</v>
      </c>
      <c r="G5" s="414"/>
      <c r="H5" s="414"/>
      <c r="I5" s="416"/>
      <c r="J5" s="415">
        <v>2017</v>
      </c>
      <c r="K5" s="414"/>
      <c r="L5" s="414"/>
      <c r="M5" s="416"/>
      <c r="N5" s="415">
        <v>2018</v>
      </c>
      <c r="O5" s="414"/>
      <c r="P5" s="414"/>
      <c r="Q5" s="416"/>
      <c r="R5" s="415">
        <v>2019</v>
      </c>
      <c r="S5" s="414"/>
      <c r="T5" s="414"/>
      <c r="U5" s="222"/>
      <c r="V5" s="154"/>
      <c r="W5" s="421">
        <v>2019</v>
      </c>
      <c r="X5" s="421"/>
      <c r="Y5" s="421"/>
      <c r="Z5" s="422"/>
      <c r="AA5" s="423">
        <v>2020</v>
      </c>
      <c r="AB5" s="421"/>
      <c r="AC5" s="421"/>
      <c r="AD5" s="421"/>
      <c r="AE5" s="183"/>
      <c r="AF5" s="183"/>
      <c r="AG5" s="154"/>
      <c r="AH5" s="417">
        <v>2020</v>
      </c>
      <c r="AI5" s="417"/>
      <c r="AJ5" s="417"/>
      <c r="AK5" s="418"/>
      <c r="AL5" s="417">
        <v>2021</v>
      </c>
      <c r="AM5" s="417"/>
      <c r="AN5" s="417"/>
      <c r="AO5" s="418"/>
      <c r="AP5" s="424">
        <v>2022</v>
      </c>
      <c r="AQ5" s="417"/>
      <c r="AR5" s="417"/>
      <c r="AS5" s="417"/>
      <c r="AT5" s="424">
        <v>2023</v>
      </c>
      <c r="AU5" s="417"/>
      <c r="AV5" s="417"/>
      <c r="AW5" s="417"/>
      <c r="AX5" s="417">
        <v>2024</v>
      </c>
      <c r="AY5" s="417"/>
      <c r="AZ5" s="417"/>
      <c r="BA5" s="417"/>
      <c r="BB5" s="417">
        <v>2025</v>
      </c>
      <c r="BC5" s="417"/>
      <c r="BD5" s="417"/>
      <c r="BE5" s="417"/>
      <c r="BF5" s="269">
        <v>2026</v>
      </c>
      <c r="BH5" s="271"/>
      <c r="BI5" s="271"/>
    </row>
    <row r="6" spans="1:61">
      <c r="A6" s="10"/>
      <c r="B6" s="13" t="s">
        <v>55</v>
      </c>
      <c r="C6" s="13" t="s">
        <v>56</v>
      </c>
      <c r="D6" s="13" t="s">
        <v>57</v>
      </c>
      <c r="E6" s="11" t="s">
        <v>58</v>
      </c>
      <c r="F6" s="13" t="s">
        <v>59</v>
      </c>
      <c r="G6" s="13" t="s">
        <v>60</v>
      </c>
      <c r="H6" s="13" t="s">
        <v>61</v>
      </c>
      <c r="I6" s="11" t="s">
        <v>62</v>
      </c>
      <c r="J6" s="13" t="s">
        <v>63</v>
      </c>
      <c r="K6" s="13" t="s">
        <v>64</v>
      </c>
      <c r="L6" s="13" t="s">
        <v>65</v>
      </c>
      <c r="M6" s="11" t="s">
        <v>66</v>
      </c>
      <c r="N6" s="13" t="s">
        <v>67</v>
      </c>
      <c r="O6" s="13" t="s">
        <v>68</v>
      </c>
      <c r="P6" s="13" t="s">
        <v>69</v>
      </c>
      <c r="Q6" s="11" t="s">
        <v>70</v>
      </c>
      <c r="R6" s="13" t="s">
        <v>71</v>
      </c>
      <c r="S6" s="13" t="s">
        <v>72</v>
      </c>
      <c r="T6" s="13" t="s">
        <v>73</v>
      </c>
      <c r="U6" s="13" t="s">
        <v>74</v>
      </c>
      <c r="V6" s="184"/>
      <c r="W6" s="183" t="s">
        <v>71</v>
      </c>
      <c r="X6" s="183" t="s">
        <v>72</v>
      </c>
      <c r="Y6" s="183" t="s">
        <v>73</v>
      </c>
      <c r="Z6" s="185" t="s">
        <v>74</v>
      </c>
      <c r="AA6" s="183" t="s">
        <v>75</v>
      </c>
      <c r="AB6" s="183" t="s">
        <v>76</v>
      </c>
      <c r="AC6" s="183" t="s">
        <v>77</v>
      </c>
      <c r="AD6" s="183" t="s">
        <v>78</v>
      </c>
      <c r="AE6" s="183" t="s">
        <v>99</v>
      </c>
      <c r="AF6" s="183" t="s">
        <v>100</v>
      </c>
      <c r="AG6" s="184"/>
      <c r="AH6" s="269" t="s">
        <v>75</v>
      </c>
      <c r="AI6" s="269" t="s">
        <v>76</v>
      </c>
      <c r="AJ6" s="269" t="s">
        <v>77</v>
      </c>
      <c r="AK6" s="270" t="s">
        <v>78</v>
      </c>
      <c r="AL6" s="269" t="s">
        <v>79</v>
      </c>
      <c r="AM6" s="269" t="s">
        <v>80</v>
      </c>
      <c r="AN6" s="269" t="s">
        <v>81</v>
      </c>
      <c r="AO6" s="270" t="s">
        <v>82</v>
      </c>
      <c r="AP6" s="269" t="s">
        <v>83</v>
      </c>
      <c r="AQ6" s="269" t="s">
        <v>84</v>
      </c>
      <c r="AR6" s="269" t="s">
        <v>85</v>
      </c>
      <c r="AS6" s="270" t="s">
        <v>86</v>
      </c>
      <c r="AT6" s="269" t="s">
        <v>87</v>
      </c>
      <c r="AU6" s="269" t="s">
        <v>88</v>
      </c>
      <c r="AV6" s="269" t="s">
        <v>89</v>
      </c>
      <c r="AW6" s="269" t="s">
        <v>90</v>
      </c>
      <c r="AX6" s="269" t="s">
        <v>91</v>
      </c>
      <c r="AY6" s="269" t="s">
        <v>92</v>
      </c>
      <c r="AZ6" s="269" t="s">
        <v>93</v>
      </c>
      <c r="BA6" s="269" t="s">
        <v>94</v>
      </c>
      <c r="BB6" s="269" t="s">
        <v>95</v>
      </c>
      <c r="BC6" s="269" t="s">
        <v>96</v>
      </c>
      <c r="BD6" s="269" t="s">
        <v>97</v>
      </c>
      <c r="BE6" s="269" t="s">
        <v>98</v>
      </c>
      <c r="BF6" s="269" t="s">
        <v>243</v>
      </c>
      <c r="BH6" s="272" t="s">
        <v>99</v>
      </c>
      <c r="BI6" s="272" t="s">
        <v>100</v>
      </c>
    </row>
    <row r="7" spans="1:61">
      <c r="A7" s="186" t="s">
        <v>11</v>
      </c>
      <c r="B7" s="187">
        <v>29815.8</v>
      </c>
      <c r="C7" s="187">
        <v>29965.5</v>
      </c>
      <c r="D7" s="187">
        <v>29449.3</v>
      </c>
      <c r="E7" s="17">
        <v>29285</v>
      </c>
      <c r="F7" s="187">
        <v>29487.4</v>
      </c>
      <c r="G7" s="187">
        <v>29422.3</v>
      </c>
      <c r="H7" s="18">
        <v>29867</v>
      </c>
      <c r="I7" s="17">
        <v>30716.6</v>
      </c>
      <c r="J7" s="187">
        <v>30226.5</v>
      </c>
      <c r="K7" s="187">
        <v>30800.2</v>
      </c>
      <c r="L7" s="18">
        <v>30936.5</v>
      </c>
      <c r="M7" s="17">
        <v>31016.2</v>
      </c>
      <c r="N7" s="187">
        <v>31208.07</v>
      </c>
      <c r="O7" s="187">
        <v>31255.51</v>
      </c>
      <c r="P7" s="187">
        <v>30894.73</v>
      </c>
      <c r="Q7" s="17">
        <v>31425.52</v>
      </c>
      <c r="R7" s="18">
        <v>31555.07</v>
      </c>
      <c r="S7" s="18">
        <v>32911.07</v>
      </c>
      <c r="T7" s="18">
        <v>32879.629999999997</v>
      </c>
      <c r="U7" s="18">
        <v>32716.2</v>
      </c>
      <c r="W7" s="18">
        <v>30677.55</v>
      </c>
      <c r="X7" s="18">
        <v>32042</v>
      </c>
      <c r="Y7" s="18">
        <v>31851.001499999998</v>
      </c>
      <c r="Z7" s="17">
        <v>31770.33</v>
      </c>
      <c r="AA7" s="18">
        <v>30333.896000000001</v>
      </c>
      <c r="AB7" s="18">
        <v>29536.42</v>
      </c>
      <c r="AC7" s="18">
        <v>29196.95</v>
      </c>
      <c r="AD7" s="18">
        <v>29014.94</v>
      </c>
      <c r="AE7" s="22">
        <f>AD7/Z7-1</f>
        <v>-8.6728403513592789E-2</v>
      </c>
      <c r="AF7" s="22">
        <f>AD7/AC7-1</f>
        <v>-6.2338703186464173E-3</v>
      </c>
      <c r="AG7" s="23"/>
      <c r="AH7" s="18">
        <v>30333.9</v>
      </c>
      <c r="AI7" s="18">
        <v>29536.42</v>
      </c>
      <c r="AJ7" s="18">
        <v>29196.95</v>
      </c>
      <c r="AK7" s="17">
        <v>29014.94</v>
      </c>
      <c r="AL7" s="18">
        <v>29350.959999999999</v>
      </c>
      <c r="AM7" s="18">
        <v>29097.56</v>
      </c>
      <c r="AN7" s="18">
        <v>29204.400000000001</v>
      </c>
      <c r="AO7" s="188">
        <v>29591.05</v>
      </c>
      <c r="AP7" s="18">
        <v>28846.57</v>
      </c>
      <c r="AQ7" s="20">
        <v>29217.34</v>
      </c>
      <c r="AR7" s="20">
        <v>29107.439999999999</v>
      </c>
      <c r="AS7" s="188">
        <v>29524.17</v>
      </c>
      <c r="AT7" s="18">
        <v>29257.95</v>
      </c>
      <c r="AU7" s="18">
        <v>29494.97</v>
      </c>
      <c r="AV7" s="18">
        <v>29311.45</v>
      </c>
      <c r="AW7" s="18">
        <v>30065.32</v>
      </c>
      <c r="AX7" s="18">
        <v>30339.040000000001</v>
      </c>
      <c r="AY7" s="18">
        <v>30775.24</v>
      </c>
      <c r="AZ7" s="18">
        <v>30962.46</v>
      </c>
      <c r="BA7" s="18">
        <v>31725.85</v>
      </c>
      <c r="BB7" s="430" t="s">
        <v>268</v>
      </c>
      <c r="BC7" s="18" t="s">
        <v>273</v>
      </c>
      <c r="BD7" s="18" t="s">
        <v>271</v>
      </c>
      <c r="BE7" s="18" t="s">
        <v>272</v>
      </c>
      <c r="BF7" s="18" t="s">
        <v>276</v>
      </c>
      <c r="BG7" s="189"/>
      <c r="BH7" s="22">
        <v>7.5700000000000003E-2</v>
      </c>
      <c r="BI7" s="22">
        <v>-2.9999999999999997E-4</v>
      </c>
    </row>
    <row r="8" spans="1:61">
      <c r="A8" s="186" t="s">
        <v>13</v>
      </c>
      <c r="B8" s="187">
        <v>5</v>
      </c>
      <c r="C8" s="187">
        <v>14.1</v>
      </c>
      <c r="D8" s="187">
        <v>36</v>
      </c>
      <c r="E8" s="17">
        <v>65</v>
      </c>
      <c r="F8" s="187">
        <v>101.2</v>
      </c>
      <c r="G8" s="187">
        <v>146.30000000000001</v>
      </c>
      <c r="H8" s="18">
        <v>232.2</v>
      </c>
      <c r="I8" s="17">
        <v>380</v>
      </c>
      <c r="J8" s="187">
        <v>548.5</v>
      </c>
      <c r="K8" s="187">
        <v>737.5</v>
      </c>
      <c r="L8" s="18">
        <v>886.1</v>
      </c>
      <c r="M8" s="17">
        <v>955.6</v>
      </c>
      <c r="N8" s="187">
        <v>1012.9</v>
      </c>
      <c r="O8" s="187">
        <v>1094</v>
      </c>
      <c r="P8" s="187">
        <v>1116.8900000000001</v>
      </c>
      <c r="Q8" s="17">
        <v>1212.44</v>
      </c>
      <c r="R8" s="18">
        <v>1288.3699999999999</v>
      </c>
      <c r="S8" s="18">
        <v>1380.17</v>
      </c>
      <c r="T8" s="18">
        <v>1474.93</v>
      </c>
      <c r="U8" s="18">
        <v>1578.67</v>
      </c>
      <c r="W8" s="18">
        <v>1288.3699999999999</v>
      </c>
      <c r="X8" s="18">
        <v>1380.17</v>
      </c>
      <c r="Y8" s="18">
        <v>1474.93</v>
      </c>
      <c r="Z8" s="17">
        <v>1578.67</v>
      </c>
      <c r="AA8" s="18">
        <v>1640.11</v>
      </c>
      <c r="AB8" s="18">
        <v>1682.64</v>
      </c>
      <c r="AC8" s="18">
        <v>1784.98</v>
      </c>
      <c r="AD8" s="18">
        <v>1851.59</v>
      </c>
      <c r="AE8" s="191">
        <f t="shared" ref="AE8:AE14" si="0">AD8/Z8-1</f>
        <v>0.17287970253441176</v>
      </c>
      <c r="AF8" s="22">
        <f t="shared" ref="AF8:AF15" si="1">AD8/AC8-1</f>
        <v>3.7316944727671997E-2</v>
      </c>
      <c r="AH8" s="18">
        <v>1640.11</v>
      </c>
      <c r="AI8" s="18">
        <v>1682.64</v>
      </c>
      <c r="AJ8" s="18">
        <v>1784.98</v>
      </c>
      <c r="AK8" s="17">
        <v>1851.59</v>
      </c>
      <c r="AL8" s="18">
        <v>1918.94</v>
      </c>
      <c r="AM8" s="18">
        <v>2038.4</v>
      </c>
      <c r="AN8" s="18">
        <v>2189.09</v>
      </c>
      <c r="AO8" s="188">
        <v>2290.06</v>
      </c>
      <c r="AP8" s="18">
        <v>2437.46</v>
      </c>
      <c r="AQ8" s="20">
        <v>2487.2199999999998</v>
      </c>
      <c r="AR8" s="20">
        <v>2541.14</v>
      </c>
      <c r="AS8" s="188">
        <v>2598.2800000000002</v>
      </c>
      <c r="AT8" s="18">
        <v>2709.54</v>
      </c>
      <c r="AU8" s="18">
        <v>2856.75</v>
      </c>
      <c r="AV8" s="18">
        <v>3021.27</v>
      </c>
      <c r="AW8" s="18">
        <v>5032.99</v>
      </c>
      <c r="AX8" s="18">
        <v>7117.72</v>
      </c>
      <c r="AY8" s="18">
        <v>7283.7</v>
      </c>
      <c r="AZ8" s="18">
        <v>7437</v>
      </c>
      <c r="BA8" s="18">
        <v>7601.97</v>
      </c>
      <c r="BB8" s="18">
        <v>7827.95</v>
      </c>
      <c r="BC8" s="18">
        <v>7940.11</v>
      </c>
      <c r="BD8" s="18">
        <v>8189.47</v>
      </c>
      <c r="BE8" s="18">
        <v>8297.84</v>
      </c>
      <c r="BF8" s="18">
        <v>8511.01</v>
      </c>
      <c r="BG8" s="189"/>
      <c r="BH8" s="22">
        <v>8.7300000000000003E-2</v>
      </c>
      <c r="BI8" s="22">
        <v>2.5700000000000001E-2</v>
      </c>
    </row>
    <row r="9" spans="1:61">
      <c r="A9" s="186" t="s">
        <v>151</v>
      </c>
      <c r="B9" s="187"/>
      <c r="C9" s="187"/>
      <c r="D9" s="187"/>
      <c r="E9" s="17"/>
      <c r="F9" s="187"/>
      <c r="G9" s="187"/>
      <c r="H9" s="18"/>
      <c r="I9" s="17"/>
      <c r="J9" s="187"/>
      <c r="K9" s="187"/>
      <c r="L9" s="18"/>
      <c r="M9" s="17"/>
      <c r="N9" s="187"/>
      <c r="O9" s="187"/>
      <c r="P9" s="187"/>
      <c r="Q9" s="17"/>
      <c r="R9" s="18"/>
      <c r="S9" s="18"/>
      <c r="T9" s="18"/>
      <c r="U9" s="18"/>
      <c r="W9" s="18"/>
      <c r="X9" s="18"/>
      <c r="Y9" s="18"/>
      <c r="Z9" s="17"/>
      <c r="AA9" s="18"/>
      <c r="AB9" s="18"/>
      <c r="AC9" s="18"/>
      <c r="AD9" s="18"/>
      <c r="AE9" s="191"/>
      <c r="AF9" s="22"/>
      <c r="AH9" s="18">
        <v>861.37</v>
      </c>
      <c r="AI9" s="18">
        <v>840.13</v>
      </c>
      <c r="AJ9" s="18">
        <v>884.58</v>
      </c>
      <c r="AK9" s="17">
        <v>937.29</v>
      </c>
      <c r="AL9" s="18">
        <v>952.02</v>
      </c>
      <c r="AM9" s="18">
        <v>952.15</v>
      </c>
      <c r="AN9" s="18">
        <v>1085.95</v>
      </c>
      <c r="AO9" s="188">
        <v>1183.3800000000001</v>
      </c>
      <c r="AP9" s="18">
        <v>1241.3900000000001</v>
      </c>
      <c r="AQ9" s="20">
        <v>1310</v>
      </c>
      <c r="AR9" s="20">
        <v>1271.3</v>
      </c>
      <c r="AS9" s="188">
        <v>1428.51</v>
      </c>
      <c r="AT9" s="18">
        <v>1329.57</v>
      </c>
      <c r="AU9" s="18">
        <v>1339.45</v>
      </c>
      <c r="AV9" s="18">
        <v>1520.47</v>
      </c>
      <c r="AW9" s="18">
        <v>1602.12</v>
      </c>
      <c r="AX9" s="18">
        <v>1601.69</v>
      </c>
      <c r="AY9" s="18">
        <v>1679.61</v>
      </c>
      <c r="AZ9" s="18">
        <v>1821.31</v>
      </c>
      <c r="BA9" s="18">
        <v>1942.19</v>
      </c>
      <c r="BB9" s="18" t="s">
        <v>269</v>
      </c>
      <c r="BC9" s="18" t="s">
        <v>270</v>
      </c>
      <c r="BD9" s="18" t="s">
        <v>274</v>
      </c>
      <c r="BE9" s="18" t="s">
        <v>275</v>
      </c>
      <c r="BF9" s="18" t="s">
        <v>277</v>
      </c>
      <c r="BG9" s="189"/>
      <c r="BH9" s="22">
        <v>1.7500000000000002E-2</v>
      </c>
      <c r="BI9" s="22">
        <v>-8.2400000000000001E-2</v>
      </c>
    </row>
    <row r="10" spans="1:61">
      <c r="A10" s="186" t="s">
        <v>152</v>
      </c>
      <c r="B10" s="187">
        <v>488.3</v>
      </c>
      <c r="C10" s="187">
        <v>488.8</v>
      </c>
      <c r="D10" s="187">
        <v>470.7</v>
      </c>
      <c r="E10" s="17">
        <v>537.4</v>
      </c>
      <c r="F10" s="187">
        <v>559.29999999999995</v>
      </c>
      <c r="G10" s="187">
        <v>600.6</v>
      </c>
      <c r="H10" s="18">
        <v>527.29999999999995</v>
      </c>
      <c r="I10" s="17">
        <v>520.79999999999995</v>
      </c>
      <c r="J10" s="187">
        <v>588.9</v>
      </c>
      <c r="K10" s="187">
        <v>615.20000000000005</v>
      </c>
      <c r="L10" s="18">
        <v>632.70000000000005</v>
      </c>
      <c r="M10" s="17">
        <v>639.1</v>
      </c>
      <c r="N10" s="19">
        <v>926.45</v>
      </c>
      <c r="O10" s="18">
        <v>1114.71</v>
      </c>
      <c r="P10" s="18">
        <v>1122.1769999999999</v>
      </c>
      <c r="Q10" s="17">
        <v>1045.1199999999999</v>
      </c>
      <c r="R10" s="18">
        <v>1118.51</v>
      </c>
      <c r="S10" s="18">
        <v>1102.8677089800001</v>
      </c>
      <c r="T10" s="18">
        <v>1172.0705900457765</v>
      </c>
      <c r="U10" s="18">
        <v>1276.4000000000001</v>
      </c>
      <c r="W10" s="18">
        <v>1078.3399999999999</v>
      </c>
      <c r="X10" s="18">
        <v>1082.68</v>
      </c>
      <c r="Y10" s="18">
        <v>1135.556</v>
      </c>
      <c r="Z10" s="17">
        <v>1212.6400000000001</v>
      </c>
      <c r="AA10" s="18">
        <v>1115.92</v>
      </c>
      <c r="AB10" s="18">
        <v>1065.67</v>
      </c>
      <c r="AC10" s="18">
        <v>1147.69</v>
      </c>
      <c r="AD10" s="18">
        <v>1222.99</v>
      </c>
      <c r="AE10" s="22">
        <f t="shared" si="0"/>
        <v>8.5350969784931952E-3</v>
      </c>
      <c r="AF10" s="22">
        <f>AD10/AC10-1</f>
        <v>6.5610051494741528E-2</v>
      </c>
      <c r="AH10" s="18">
        <v>254.56</v>
      </c>
      <c r="AI10" s="18">
        <v>225.54</v>
      </c>
      <c r="AJ10" s="18">
        <v>263.12</v>
      </c>
      <c r="AK10" s="17">
        <v>285.7</v>
      </c>
      <c r="AL10" s="18">
        <v>203.03</v>
      </c>
      <c r="AM10" s="18">
        <v>265.27999999999997</v>
      </c>
      <c r="AN10" s="18">
        <v>317.52999999999997</v>
      </c>
      <c r="AO10" s="188">
        <v>332.1</v>
      </c>
      <c r="AP10" s="18">
        <v>244.76</v>
      </c>
      <c r="AQ10" s="214">
        <v>278.49</v>
      </c>
      <c r="AR10" s="214">
        <v>210.12</v>
      </c>
      <c r="AS10" s="188">
        <v>289.20999999999998</v>
      </c>
      <c r="AT10" s="18">
        <v>234.4</v>
      </c>
      <c r="AU10" s="18">
        <v>211.34</v>
      </c>
      <c r="AV10" s="18">
        <v>227.25</v>
      </c>
      <c r="AW10" s="18">
        <v>354.62</v>
      </c>
      <c r="AX10" s="18">
        <v>378.24</v>
      </c>
      <c r="AY10" s="18">
        <v>490.18</v>
      </c>
      <c r="AZ10" s="18">
        <v>578.08000000000004</v>
      </c>
      <c r="BA10" s="18">
        <v>628.32000000000005</v>
      </c>
      <c r="BB10" s="18">
        <v>667.96</v>
      </c>
      <c r="BC10" s="18">
        <v>658.67</v>
      </c>
      <c r="BD10" s="18">
        <v>488.34</v>
      </c>
      <c r="BE10" s="18">
        <v>490.6</v>
      </c>
      <c r="BF10" s="18">
        <v>479.32</v>
      </c>
      <c r="BG10" s="189"/>
      <c r="BH10" s="191">
        <v>-0.28239999999999998</v>
      </c>
      <c r="BI10" s="22">
        <v>-2.3E-2</v>
      </c>
    </row>
    <row r="11" spans="1:61">
      <c r="A11" s="380" t="s">
        <v>153</v>
      </c>
      <c r="B11" s="240">
        <f>SUM(B7:B10)</f>
        <v>30309.1</v>
      </c>
      <c r="C11" s="240">
        <f t="shared" ref="C11:S11" si="2">SUM(C7:C10)</f>
        <v>30468.399999999998</v>
      </c>
      <c r="D11" s="240">
        <f t="shared" si="2"/>
        <v>29956</v>
      </c>
      <c r="E11" s="241">
        <f t="shared" si="2"/>
        <v>29887.4</v>
      </c>
      <c r="F11" s="240">
        <f t="shared" si="2"/>
        <v>30147.9</v>
      </c>
      <c r="G11" s="240">
        <f t="shared" si="2"/>
        <v>30169.199999999997</v>
      </c>
      <c r="H11" s="240">
        <f t="shared" si="2"/>
        <v>30626.5</v>
      </c>
      <c r="I11" s="242">
        <f t="shared" si="2"/>
        <v>31617.399999999998</v>
      </c>
      <c r="J11" s="243">
        <f t="shared" si="2"/>
        <v>31363.9</v>
      </c>
      <c r="K11" s="243">
        <f t="shared" si="2"/>
        <v>32152.9</v>
      </c>
      <c r="L11" s="243">
        <f t="shared" si="2"/>
        <v>32455.3</v>
      </c>
      <c r="M11" s="242">
        <f t="shared" si="2"/>
        <v>32610.899999999998</v>
      </c>
      <c r="N11" s="244">
        <f t="shared" si="2"/>
        <v>33147.42</v>
      </c>
      <c r="O11" s="243">
        <v>33464</v>
      </c>
      <c r="P11" s="243">
        <f t="shared" si="2"/>
        <v>33133.796999999999</v>
      </c>
      <c r="Q11" s="242">
        <f t="shared" si="2"/>
        <v>33683.08</v>
      </c>
      <c r="R11" s="243">
        <f t="shared" si="2"/>
        <v>33961.950000000004</v>
      </c>
      <c r="S11" s="243">
        <f t="shared" si="2"/>
        <v>35394.107708979995</v>
      </c>
      <c r="T11" s="243">
        <f>SUM(T7:T10)</f>
        <v>35526.630590045774</v>
      </c>
      <c r="U11" s="243">
        <f>SUM(U7:U10)</f>
        <v>35571.270000000004</v>
      </c>
      <c r="V11" s="255"/>
      <c r="W11" s="243">
        <f t="shared" ref="W11:AD11" si="3">SUM(W7:W10)</f>
        <v>33044.259999999995</v>
      </c>
      <c r="X11" s="243">
        <f t="shared" si="3"/>
        <v>34504.85</v>
      </c>
      <c r="Y11" s="243">
        <f t="shared" si="3"/>
        <v>34461.487499999996</v>
      </c>
      <c r="Z11" s="242">
        <f t="shared" si="3"/>
        <v>34561.64</v>
      </c>
      <c r="AA11" s="243">
        <f t="shared" si="3"/>
        <v>33089.925999999999</v>
      </c>
      <c r="AB11" s="243">
        <f t="shared" si="3"/>
        <v>32284.729999999996</v>
      </c>
      <c r="AC11" s="243">
        <f t="shared" si="3"/>
        <v>32129.62</v>
      </c>
      <c r="AD11" s="243">
        <f t="shared" si="3"/>
        <v>32089.52</v>
      </c>
      <c r="AE11" s="252">
        <f>AD11/Z11-1</f>
        <v>-7.1527855738327206E-2</v>
      </c>
      <c r="AF11" s="252">
        <f t="shared" si="1"/>
        <v>-1.2480695383262352E-3</v>
      </c>
      <c r="AG11" s="255"/>
      <c r="AH11" s="243">
        <v>33089.93</v>
      </c>
      <c r="AI11" s="243">
        <v>32284.74</v>
      </c>
      <c r="AJ11" s="243">
        <v>32129.62</v>
      </c>
      <c r="AK11" s="242">
        <v>32089.52</v>
      </c>
      <c r="AL11" s="243">
        <v>32424.95</v>
      </c>
      <c r="AM11" s="243">
        <v>32353.03</v>
      </c>
      <c r="AN11" s="243">
        <v>32796.980000000003</v>
      </c>
      <c r="AO11" s="246">
        <v>33396.6</v>
      </c>
      <c r="AP11" s="243">
        <v>32770.18</v>
      </c>
      <c r="AQ11" s="247">
        <v>33293.040000000001</v>
      </c>
      <c r="AR11" s="247">
        <v>33130</v>
      </c>
      <c r="AS11" s="246">
        <v>33840.18</v>
      </c>
      <c r="AT11" s="243">
        <v>33531.46</v>
      </c>
      <c r="AU11" s="243">
        <v>33902.51</v>
      </c>
      <c r="AV11" s="243">
        <v>34080.44</v>
      </c>
      <c r="AW11" s="243">
        <v>37055.050000000003</v>
      </c>
      <c r="AX11" s="243">
        <v>39436.69</v>
      </c>
      <c r="AY11" s="243">
        <v>40228.74</v>
      </c>
      <c r="AZ11" s="243">
        <v>40799.25</v>
      </c>
      <c r="BA11" s="243">
        <v>41898.239999999998</v>
      </c>
      <c r="BB11" s="243">
        <v>41928.61</v>
      </c>
      <c r="BC11" s="243">
        <v>42971.55</v>
      </c>
      <c r="BD11" s="243">
        <v>43590.82</v>
      </c>
      <c r="BE11" s="243">
        <v>44824.81</v>
      </c>
      <c r="BF11" s="243">
        <v>44848.639999999999</v>
      </c>
      <c r="BG11" s="256"/>
      <c r="BH11" s="393">
        <v>6.9599999999999995E-2</v>
      </c>
      <c r="BI11" s="252">
        <v>5.0000000000000001E-4</v>
      </c>
    </row>
    <row r="12" spans="1:61">
      <c r="A12" s="186" t="s">
        <v>154</v>
      </c>
      <c r="B12" s="18">
        <v>1939.8</v>
      </c>
      <c r="C12" s="18">
        <v>1922.5</v>
      </c>
      <c r="D12" s="18">
        <v>1456.4</v>
      </c>
      <c r="E12" s="18">
        <v>1475.5</v>
      </c>
      <c r="F12" s="18">
        <v>1441.1</v>
      </c>
      <c r="G12" s="18">
        <v>1431.5</v>
      </c>
      <c r="H12" s="18">
        <v>1405.3</v>
      </c>
      <c r="I12" s="18">
        <v>1387.5</v>
      </c>
      <c r="J12" s="18">
        <v>1086.7</v>
      </c>
      <c r="K12" s="18">
        <v>1068</v>
      </c>
      <c r="L12" s="18">
        <v>1102.5</v>
      </c>
      <c r="M12" s="18">
        <v>1106.558</v>
      </c>
      <c r="N12" s="18">
        <v>1418</v>
      </c>
      <c r="O12" s="18">
        <v>2845</v>
      </c>
      <c r="P12" s="18">
        <v>3111.2159999999999</v>
      </c>
      <c r="Q12" s="18">
        <v>3201.9540000000002</v>
      </c>
      <c r="R12" s="18">
        <v>2994.96</v>
      </c>
      <c r="S12" s="18">
        <v>2840.63</v>
      </c>
      <c r="T12" s="18">
        <v>4277.8500000000004</v>
      </c>
      <c r="U12" s="18">
        <v>3443.0859121399999</v>
      </c>
      <c r="W12" s="18">
        <v>2994.96</v>
      </c>
      <c r="X12" s="18">
        <v>2840.63</v>
      </c>
      <c r="Y12" s="18">
        <v>4277.8459999999995</v>
      </c>
      <c r="Z12" s="18">
        <v>3443.0859999999998</v>
      </c>
      <c r="AA12" s="18">
        <v>3289.99</v>
      </c>
      <c r="AB12" s="18">
        <v>3438.84</v>
      </c>
      <c r="AC12" s="18">
        <v>3493.96</v>
      </c>
      <c r="AD12" s="18">
        <v>3499.3</v>
      </c>
      <c r="AE12" s="22">
        <f t="shared" si="0"/>
        <v>1.6326632561603382E-2</v>
      </c>
      <c r="AF12" s="22">
        <f t="shared" si="1"/>
        <v>1.5283517842219485E-3</v>
      </c>
      <c r="AH12" s="18">
        <v>3289.99</v>
      </c>
      <c r="AI12" s="18">
        <v>3438.84</v>
      </c>
      <c r="AJ12" s="18">
        <v>3493.96</v>
      </c>
      <c r="AK12" s="18">
        <v>3499.3</v>
      </c>
      <c r="AL12" s="18">
        <v>3750.19</v>
      </c>
      <c r="AM12" s="18">
        <v>3288.3</v>
      </c>
      <c r="AN12" s="18">
        <v>3407</v>
      </c>
      <c r="AO12" s="214">
        <v>3374.06</v>
      </c>
      <c r="AP12" s="18">
        <v>3238.55</v>
      </c>
      <c r="AQ12" s="214">
        <v>3193.41</v>
      </c>
      <c r="AR12" s="214">
        <v>3170.76</v>
      </c>
      <c r="AS12" s="214">
        <v>3373.05</v>
      </c>
      <c r="AT12" s="18">
        <v>3255.01</v>
      </c>
      <c r="AU12" s="18">
        <v>3412.99</v>
      </c>
      <c r="AV12" s="18">
        <v>3312.99</v>
      </c>
      <c r="AW12" s="18">
        <v>3370.7</v>
      </c>
      <c r="AX12" s="18">
        <v>3366.22</v>
      </c>
      <c r="AY12" s="18">
        <v>3235</v>
      </c>
      <c r="AZ12" s="18">
        <v>3177.25</v>
      </c>
      <c r="BA12" s="18">
        <v>3351.46</v>
      </c>
      <c r="BB12" s="18">
        <v>3177.96</v>
      </c>
      <c r="BC12" s="18">
        <v>3192.18</v>
      </c>
      <c r="BD12" s="18">
        <v>1819.43</v>
      </c>
      <c r="BE12" s="18">
        <v>1050.82</v>
      </c>
      <c r="BF12" s="18">
        <v>1067.0899999999999</v>
      </c>
      <c r="BG12" s="189"/>
      <c r="BH12" s="191">
        <v>-0.66420000000000001</v>
      </c>
      <c r="BI12" s="388">
        <v>1.4999999999999999E-2</v>
      </c>
    </row>
    <row r="13" spans="1:61">
      <c r="A13" s="381" t="s">
        <v>155</v>
      </c>
      <c r="B13" s="257">
        <f>B11+B12</f>
        <v>32248.899999999998</v>
      </c>
      <c r="C13" s="257">
        <f t="shared" ref="C13:U13" si="4">C11+C12</f>
        <v>32390.899999999998</v>
      </c>
      <c r="D13" s="257">
        <f t="shared" si="4"/>
        <v>31412.400000000001</v>
      </c>
      <c r="E13" s="202">
        <f t="shared" si="4"/>
        <v>31362.9</v>
      </c>
      <c r="F13" s="257">
        <f t="shared" si="4"/>
        <v>31589</v>
      </c>
      <c r="G13" s="257">
        <f t="shared" si="4"/>
        <v>31600.699999999997</v>
      </c>
      <c r="H13" s="257">
        <f t="shared" si="4"/>
        <v>32031.8</v>
      </c>
      <c r="I13" s="250">
        <f t="shared" si="4"/>
        <v>33004.899999999994</v>
      </c>
      <c r="J13" s="251">
        <f t="shared" si="4"/>
        <v>32450.600000000002</v>
      </c>
      <c r="K13" s="251">
        <f t="shared" si="4"/>
        <v>33220.9</v>
      </c>
      <c r="L13" s="251">
        <f t="shared" si="4"/>
        <v>33557.800000000003</v>
      </c>
      <c r="M13" s="250">
        <f t="shared" si="4"/>
        <v>33717.457999999999</v>
      </c>
      <c r="N13" s="251">
        <f t="shared" si="4"/>
        <v>34565.42</v>
      </c>
      <c r="O13" s="251">
        <f>O11+O12</f>
        <v>36309</v>
      </c>
      <c r="P13" s="251">
        <f t="shared" si="4"/>
        <v>36245.012999999999</v>
      </c>
      <c r="Q13" s="250">
        <f t="shared" si="4"/>
        <v>36885.034</v>
      </c>
      <c r="R13" s="251">
        <f t="shared" si="4"/>
        <v>36956.910000000003</v>
      </c>
      <c r="S13" s="251">
        <f t="shared" si="4"/>
        <v>38234.737708979992</v>
      </c>
      <c r="T13" s="251">
        <f t="shared" si="4"/>
        <v>39804.480590045772</v>
      </c>
      <c r="U13" s="251">
        <f t="shared" si="4"/>
        <v>39014.355912140003</v>
      </c>
      <c r="V13" s="203"/>
      <c r="W13" s="251">
        <f t="shared" ref="W13:AD13" si="5">W11+W12</f>
        <v>36039.219999999994</v>
      </c>
      <c r="X13" s="251">
        <f t="shared" si="5"/>
        <v>37345.479999999996</v>
      </c>
      <c r="Y13" s="251">
        <f t="shared" si="5"/>
        <v>38739.333499999993</v>
      </c>
      <c r="Z13" s="250">
        <f t="shared" si="5"/>
        <v>38004.726000000002</v>
      </c>
      <c r="AA13" s="251">
        <f t="shared" si="5"/>
        <v>36379.915999999997</v>
      </c>
      <c r="AB13" s="251">
        <f t="shared" si="5"/>
        <v>35723.569999999992</v>
      </c>
      <c r="AC13" s="251">
        <f t="shared" si="5"/>
        <v>35623.58</v>
      </c>
      <c r="AD13" s="251">
        <f t="shared" si="5"/>
        <v>35588.82</v>
      </c>
      <c r="AE13" s="234">
        <f>AD13/Z13-1</f>
        <v>-6.3568567761809525E-2</v>
      </c>
      <c r="AF13" s="234">
        <f t="shared" si="1"/>
        <v>-9.7575819162476485E-4</v>
      </c>
      <c r="AG13" s="203"/>
      <c r="AH13" s="251">
        <v>36379.919999999998</v>
      </c>
      <c r="AI13" s="251">
        <v>35723.58</v>
      </c>
      <c r="AJ13" s="251">
        <v>35623.58</v>
      </c>
      <c r="AK13" s="250">
        <v>35588.82</v>
      </c>
      <c r="AL13" s="251">
        <v>36175.14</v>
      </c>
      <c r="AM13" s="251">
        <v>35641.33</v>
      </c>
      <c r="AN13" s="251">
        <v>36203.980000000003</v>
      </c>
      <c r="AO13" s="253">
        <v>36770.660000000003</v>
      </c>
      <c r="AP13" s="251">
        <v>36008.730000000003</v>
      </c>
      <c r="AQ13" s="248">
        <v>36486.449999999997</v>
      </c>
      <c r="AR13" s="248">
        <v>36300.75</v>
      </c>
      <c r="AS13" s="253">
        <v>37213.230000000003</v>
      </c>
      <c r="AT13" s="251">
        <v>36786.46</v>
      </c>
      <c r="AU13" s="251">
        <v>37315.49</v>
      </c>
      <c r="AV13" s="251">
        <v>37393.440000000002</v>
      </c>
      <c r="AW13" s="251">
        <v>40425.75</v>
      </c>
      <c r="AX13" s="251">
        <v>42802.9</v>
      </c>
      <c r="AY13" s="251">
        <v>43463.86</v>
      </c>
      <c r="AZ13" s="251">
        <v>43976.51</v>
      </c>
      <c r="BA13" s="251">
        <v>45249.7</v>
      </c>
      <c r="BB13" s="251">
        <v>45106.57</v>
      </c>
      <c r="BC13" s="251">
        <v>46163.73</v>
      </c>
      <c r="BD13" s="251">
        <v>45410.26</v>
      </c>
      <c r="BE13" s="251">
        <v>45875.42</v>
      </c>
      <c r="BF13" s="251">
        <v>45915.73</v>
      </c>
      <c r="BG13" s="233"/>
      <c r="BH13" s="234">
        <v>1.7899999999999999E-2</v>
      </c>
      <c r="BI13" s="234">
        <v>8.9999999999999998E-4</v>
      </c>
    </row>
    <row r="14" spans="1:61">
      <c r="A14" s="195" t="s">
        <v>156</v>
      </c>
      <c r="B14" s="196">
        <v>8287.5</v>
      </c>
      <c r="C14" s="196">
        <v>5732.5</v>
      </c>
      <c r="D14" s="196">
        <v>5356.2</v>
      </c>
      <c r="E14" s="42">
        <v>8421.5</v>
      </c>
      <c r="F14" s="196">
        <v>5663.3</v>
      </c>
      <c r="G14" s="196">
        <v>4881.7</v>
      </c>
      <c r="H14" s="196">
        <v>5063.8999999999996</v>
      </c>
      <c r="I14" s="159">
        <v>8314.5</v>
      </c>
      <c r="J14" s="193">
        <v>6407.4</v>
      </c>
      <c r="K14" s="193">
        <v>5857.6</v>
      </c>
      <c r="L14" s="193">
        <v>5022.2</v>
      </c>
      <c r="M14" s="159">
        <v>7488</v>
      </c>
      <c r="N14" s="197">
        <v>6367.9</v>
      </c>
      <c r="O14" s="198">
        <v>5919</v>
      </c>
      <c r="P14" s="198">
        <v>5865.1393565100007</v>
      </c>
      <c r="Q14" s="159">
        <v>7699</v>
      </c>
      <c r="R14" s="193">
        <v>6867.36</v>
      </c>
      <c r="S14" s="193">
        <v>6452.96</v>
      </c>
      <c r="T14" s="193">
        <v>5652.27</v>
      </c>
      <c r="U14" s="193">
        <v>10449.167964089902</v>
      </c>
      <c r="V14" s="144"/>
      <c r="W14" s="193">
        <v>7222.4564</v>
      </c>
      <c r="X14" s="193">
        <v>6736</v>
      </c>
      <c r="Y14" s="193">
        <v>5993.5839999999998</v>
      </c>
      <c r="Z14" s="199">
        <v>10812.93</v>
      </c>
      <c r="AA14" s="193">
        <v>6465.49</v>
      </c>
      <c r="AB14" s="193">
        <v>6532.31</v>
      </c>
      <c r="AC14" s="193">
        <v>6091.43</v>
      </c>
      <c r="AD14" s="193">
        <v>10485.15</v>
      </c>
      <c r="AE14" s="25">
        <f t="shared" si="0"/>
        <v>-3.0313707755437291E-2</v>
      </c>
      <c r="AF14" s="49">
        <f>AD14/AC14-1</f>
        <v>0.72129532802642382</v>
      </c>
      <c r="AG14" s="144"/>
      <c r="AH14" s="193">
        <v>6465.49</v>
      </c>
      <c r="AI14" s="193">
        <v>6532.31</v>
      </c>
      <c r="AJ14" s="193">
        <v>6091.43</v>
      </c>
      <c r="AK14" s="199">
        <v>10485.15</v>
      </c>
      <c r="AL14" s="193">
        <v>9686.0300000000007</v>
      </c>
      <c r="AM14" s="193">
        <v>7115.59</v>
      </c>
      <c r="AN14" s="193">
        <v>6172.58</v>
      </c>
      <c r="AO14" s="200">
        <v>13567.59</v>
      </c>
      <c r="AP14" s="193">
        <v>9270.24</v>
      </c>
      <c r="AQ14" s="201">
        <v>8786.27</v>
      </c>
      <c r="AR14" s="201">
        <v>9933.74</v>
      </c>
      <c r="AS14" s="200">
        <v>11485.36</v>
      </c>
      <c r="AT14" s="193">
        <v>9925.9</v>
      </c>
      <c r="AU14" s="193">
        <v>7458.82</v>
      </c>
      <c r="AV14" s="193">
        <v>8675.24</v>
      </c>
      <c r="AW14" s="193">
        <v>10891.79</v>
      </c>
      <c r="AX14" s="193">
        <v>10489.97</v>
      </c>
      <c r="AY14" s="193">
        <v>7868.26</v>
      </c>
      <c r="AZ14" s="193">
        <v>8232.2999999999993</v>
      </c>
      <c r="BA14" s="193">
        <v>11485.64</v>
      </c>
      <c r="BB14" s="193">
        <v>11204.28</v>
      </c>
      <c r="BC14" s="193">
        <v>9880.09</v>
      </c>
      <c r="BD14" s="193">
        <v>8951.4500000000007</v>
      </c>
      <c r="BE14" s="193">
        <v>13671.99</v>
      </c>
      <c r="BF14" s="193">
        <v>12281.71</v>
      </c>
      <c r="BG14" s="189"/>
      <c r="BH14" s="22">
        <v>9.6199999999999994E-2</v>
      </c>
      <c r="BI14" s="191">
        <v>-0.1017</v>
      </c>
    </row>
    <row r="15" spans="1:61">
      <c r="A15" s="382" t="s">
        <v>157</v>
      </c>
      <c r="B15" s="224">
        <f>B13+B14</f>
        <v>40536.399999999994</v>
      </c>
      <c r="C15" s="224">
        <f t="shared" ref="C15:U15" si="6">C13+C14</f>
        <v>38123.399999999994</v>
      </c>
      <c r="D15" s="224">
        <f t="shared" si="6"/>
        <v>36768.6</v>
      </c>
      <c r="E15" s="225">
        <f t="shared" si="6"/>
        <v>39784.400000000001</v>
      </c>
      <c r="F15" s="224">
        <f t="shared" si="6"/>
        <v>37252.300000000003</v>
      </c>
      <c r="G15" s="224">
        <f t="shared" si="6"/>
        <v>36482.399999999994</v>
      </c>
      <c r="H15" s="224">
        <f t="shared" si="6"/>
        <v>37095.699999999997</v>
      </c>
      <c r="I15" s="226">
        <f t="shared" si="6"/>
        <v>41319.399999999994</v>
      </c>
      <c r="J15" s="227">
        <f t="shared" si="6"/>
        <v>38858</v>
      </c>
      <c r="K15" s="227">
        <f t="shared" si="6"/>
        <v>39078.5</v>
      </c>
      <c r="L15" s="227">
        <f t="shared" si="6"/>
        <v>38580</v>
      </c>
      <c r="M15" s="226">
        <f t="shared" si="6"/>
        <v>41205.457999999999</v>
      </c>
      <c r="N15" s="228">
        <f t="shared" si="6"/>
        <v>40933.32</v>
      </c>
      <c r="O15" s="228">
        <f t="shared" si="6"/>
        <v>42228</v>
      </c>
      <c r="P15" s="228">
        <f t="shared" si="6"/>
        <v>42110.15235651</v>
      </c>
      <c r="Q15" s="226">
        <f t="shared" si="6"/>
        <v>44584.034</v>
      </c>
      <c r="R15" s="227">
        <f t="shared" si="6"/>
        <v>43824.270000000004</v>
      </c>
      <c r="S15" s="227">
        <f t="shared" si="6"/>
        <v>44687.697708979991</v>
      </c>
      <c r="T15" s="227">
        <f t="shared" si="6"/>
        <v>45456.750590045776</v>
      </c>
      <c r="U15" s="227">
        <f t="shared" si="6"/>
        <v>49463.523876229905</v>
      </c>
      <c r="V15" s="203"/>
      <c r="W15" s="227">
        <f t="shared" ref="W15:AD15" si="7">W13+W14</f>
        <v>43261.676399999997</v>
      </c>
      <c r="X15" s="227">
        <f t="shared" si="7"/>
        <v>44081.479999999996</v>
      </c>
      <c r="Y15" s="227">
        <f t="shared" si="7"/>
        <v>44732.917499999996</v>
      </c>
      <c r="Z15" s="226">
        <f t="shared" si="7"/>
        <v>48817.656000000003</v>
      </c>
      <c r="AA15" s="227">
        <f t="shared" si="7"/>
        <v>42845.405999999995</v>
      </c>
      <c r="AB15" s="227">
        <f t="shared" si="7"/>
        <v>42255.87999999999</v>
      </c>
      <c r="AC15" s="227">
        <f t="shared" si="7"/>
        <v>41715.01</v>
      </c>
      <c r="AD15" s="227">
        <f t="shared" si="7"/>
        <v>46073.97</v>
      </c>
      <c r="AE15" s="229">
        <f>AD15/Z15-1</f>
        <v>-5.6202739435092908E-2</v>
      </c>
      <c r="AF15" s="230">
        <f t="shared" si="1"/>
        <v>0.10449380211103865</v>
      </c>
      <c r="AG15" s="203"/>
      <c r="AH15" s="227">
        <v>42845.41</v>
      </c>
      <c r="AI15" s="227">
        <v>42255.89</v>
      </c>
      <c r="AJ15" s="227">
        <v>41715.01</v>
      </c>
      <c r="AK15" s="226">
        <v>46073.97</v>
      </c>
      <c r="AL15" s="227">
        <v>45861.17</v>
      </c>
      <c r="AM15" s="227">
        <v>42756.92</v>
      </c>
      <c r="AN15" s="227">
        <v>42376.56</v>
      </c>
      <c r="AO15" s="231">
        <v>50338.25</v>
      </c>
      <c r="AP15" s="227">
        <v>45278.97</v>
      </c>
      <c r="AQ15" s="232">
        <v>45272.72</v>
      </c>
      <c r="AR15" s="232">
        <v>46234.49</v>
      </c>
      <c r="AS15" s="231">
        <v>48698.59</v>
      </c>
      <c r="AT15" s="227">
        <v>46712.36</v>
      </c>
      <c r="AU15" s="227">
        <v>44774.32</v>
      </c>
      <c r="AV15" s="227">
        <v>46068.68</v>
      </c>
      <c r="AW15" s="227">
        <v>51317.55</v>
      </c>
      <c r="AX15" s="227">
        <v>53292.88</v>
      </c>
      <c r="AY15" s="227">
        <v>51332.13</v>
      </c>
      <c r="AZ15" s="227">
        <v>52208.800000000003</v>
      </c>
      <c r="BA15" s="227">
        <v>56735.519999999997</v>
      </c>
      <c r="BB15" s="227">
        <v>56310.85</v>
      </c>
      <c r="BC15" s="227">
        <v>56043.82</v>
      </c>
      <c r="BD15" s="227">
        <v>54361.71</v>
      </c>
      <c r="BE15" s="227">
        <v>59547.41</v>
      </c>
      <c r="BF15" s="227">
        <v>58197.440000000002</v>
      </c>
      <c r="BG15" s="233"/>
      <c r="BH15" s="229">
        <v>3.3500000000000002E-2</v>
      </c>
      <c r="BI15" s="229">
        <v>-2.2700000000000001E-2</v>
      </c>
    </row>
    <row r="16" spans="1:61">
      <c r="A16" s="381"/>
      <c r="B16" s="257"/>
      <c r="C16" s="257"/>
      <c r="D16" s="257"/>
      <c r="E16" s="202"/>
      <c r="F16" s="257"/>
      <c r="G16" s="257"/>
      <c r="H16" s="257"/>
      <c r="I16" s="250"/>
      <c r="J16" s="251"/>
      <c r="K16" s="251"/>
      <c r="L16" s="251"/>
      <c r="M16" s="250"/>
      <c r="N16" s="251"/>
      <c r="O16" s="251"/>
      <c r="P16" s="251"/>
      <c r="Q16" s="250"/>
      <c r="R16" s="251"/>
      <c r="S16" s="251"/>
      <c r="T16" s="251"/>
      <c r="U16" s="251"/>
      <c r="V16" s="203"/>
      <c r="W16" s="251"/>
      <c r="X16" s="251"/>
      <c r="Y16" s="251"/>
      <c r="Z16" s="250"/>
      <c r="AA16" s="251"/>
      <c r="AB16" s="251"/>
      <c r="AC16" s="251"/>
      <c r="AD16" s="251"/>
      <c r="AE16" s="234"/>
      <c r="AF16" s="249"/>
      <c r="AG16" s="203"/>
      <c r="AH16" s="251"/>
      <c r="AI16" s="251"/>
      <c r="AJ16" s="251"/>
      <c r="AK16" s="250"/>
      <c r="AL16" s="251"/>
      <c r="AM16" s="251"/>
      <c r="AN16" s="251"/>
      <c r="AO16" s="253"/>
      <c r="AP16" s="251"/>
      <c r="AQ16" s="248"/>
      <c r="AR16" s="248"/>
      <c r="AS16" s="253"/>
      <c r="AT16" s="251"/>
      <c r="AU16" s="251"/>
      <c r="AV16" s="251"/>
      <c r="AW16" s="251"/>
      <c r="AX16" s="251"/>
      <c r="AY16" s="251"/>
      <c r="AZ16" s="251"/>
      <c r="BA16" s="251"/>
      <c r="BB16" s="251"/>
      <c r="BC16" s="251"/>
      <c r="BD16" s="251"/>
      <c r="BE16" s="251"/>
      <c r="BF16" s="251"/>
      <c r="BG16" s="233"/>
      <c r="BH16" s="234"/>
      <c r="BI16" s="234"/>
    </row>
    <row r="17" spans="1:61">
      <c r="A17" s="186" t="s">
        <v>19</v>
      </c>
      <c r="B17" s="204">
        <v>4299</v>
      </c>
      <c r="C17" s="204">
        <v>3811.2</v>
      </c>
      <c r="D17" s="204">
        <v>3344.1</v>
      </c>
      <c r="E17" s="205">
        <v>2662</v>
      </c>
      <c r="F17" s="204">
        <v>4588.8999999999996</v>
      </c>
      <c r="G17" s="204">
        <v>2222.5</v>
      </c>
      <c r="H17" s="204">
        <v>1768.7</v>
      </c>
      <c r="I17" s="205">
        <v>1834</v>
      </c>
      <c r="J17" s="204">
        <v>1815.2</v>
      </c>
      <c r="K17" s="204">
        <v>1653.7</v>
      </c>
      <c r="L17" s="204">
        <v>1501.8</v>
      </c>
      <c r="M17" s="205">
        <v>1300.8</v>
      </c>
      <c r="N17" s="204">
        <v>1475.2</v>
      </c>
      <c r="O17" s="204">
        <v>1398.4</v>
      </c>
      <c r="P17" s="204">
        <v>1429.3586</v>
      </c>
      <c r="Q17" s="205">
        <v>1420.3209999999999</v>
      </c>
      <c r="R17" s="204">
        <v>1403.33</v>
      </c>
      <c r="S17" s="204">
        <v>1462</v>
      </c>
      <c r="T17" s="204">
        <v>1467.18</v>
      </c>
      <c r="U17" s="204">
        <v>1459.02</v>
      </c>
      <c r="W17" s="204">
        <v>1403.33</v>
      </c>
      <c r="X17" s="204">
        <v>1462</v>
      </c>
      <c r="Y17" s="204">
        <v>1467.18</v>
      </c>
      <c r="Z17" s="205">
        <v>1459.02</v>
      </c>
      <c r="AA17" s="204">
        <v>1409.19</v>
      </c>
      <c r="AB17" s="204">
        <v>1280.77</v>
      </c>
      <c r="AC17" s="204">
        <v>1354.8</v>
      </c>
      <c r="AD17" s="204">
        <v>1264.67</v>
      </c>
      <c r="AE17" s="191">
        <f>AD17/Z17-1</f>
        <v>-0.13320585050239198</v>
      </c>
      <c r="AF17" s="22">
        <f>AD17/AC17-1</f>
        <v>-6.6526424564511299E-2</v>
      </c>
      <c r="AG17" s="206"/>
      <c r="AH17" s="204">
        <v>1409.19</v>
      </c>
      <c r="AI17" s="204">
        <v>1280.77</v>
      </c>
      <c r="AJ17" s="204">
        <v>1354.8</v>
      </c>
      <c r="AK17" s="205">
        <v>1264.67</v>
      </c>
      <c r="AL17" s="204">
        <v>1360.6</v>
      </c>
      <c r="AM17" s="204">
        <v>1347.31</v>
      </c>
      <c r="AN17" s="204">
        <v>1353.98</v>
      </c>
      <c r="AO17" s="207">
        <v>1257.98</v>
      </c>
      <c r="AP17" s="204">
        <v>1356.64</v>
      </c>
      <c r="AQ17" s="208">
        <v>1374.16</v>
      </c>
      <c r="AR17" s="208">
        <v>1379.77</v>
      </c>
      <c r="AS17" s="207">
        <v>1391.81</v>
      </c>
      <c r="AT17" s="204">
        <v>1393.62</v>
      </c>
      <c r="AU17" s="204">
        <v>1368.59</v>
      </c>
      <c r="AV17" s="204">
        <v>1409.22</v>
      </c>
      <c r="AW17" s="204">
        <v>1508.53</v>
      </c>
      <c r="AX17" s="204">
        <v>1581.18</v>
      </c>
      <c r="AY17" s="204">
        <v>1576.67</v>
      </c>
      <c r="AZ17" s="204">
        <v>1628.65</v>
      </c>
      <c r="BA17" s="204">
        <v>1489.15</v>
      </c>
      <c r="BB17" s="204">
        <v>1636.24</v>
      </c>
      <c r="BC17" s="204">
        <v>1714.67</v>
      </c>
      <c r="BD17" s="204">
        <v>1760.68</v>
      </c>
      <c r="BE17" s="204">
        <v>1849.05</v>
      </c>
      <c r="BF17" s="204">
        <v>1634.64</v>
      </c>
      <c r="BG17" s="189"/>
      <c r="BH17" s="22">
        <v>-1E-3</v>
      </c>
      <c r="BI17" s="191">
        <v>-0.11600000000000001</v>
      </c>
    </row>
    <row r="18" spans="1:61">
      <c r="A18" s="186" t="s">
        <v>158</v>
      </c>
      <c r="B18" s="204">
        <v>5375</v>
      </c>
      <c r="C18" s="204">
        <v>5415.3</v>
      </c>
      <c r="D18" s="204">
        <v>5861.2000000000007</v>
      </c>
      <c r="E18" s="205">
        <v>3495.1</v>
      </c>
      <c r="F18" s="204">
        <v>3977.6</v>
      </c>
      <c r="G18" s="204">
        <v>4403</v>
      </c>
      <c r="H18" s="204">
        <v>6155.6</v>
      </c>
      <c r="I18" s="205">
        <v>6717</v>
      </c>
      <c r="J18" s="204">
        <v>6807.3</v>
      </c>
      <c r="K18" s="204">
        <v>7217.8</v>
      </c>
      <c r="L18" s="204">
        <v>7617.9000000000005</v>
      </c>
      <c r="M18" s="205">
        <v>8043.8</v>
      </c>
      <c r="N18" s="204">
        <v>7940.8</v>
      </c>
      <c r="O18" s="204">
        <v>8173</v>
      </c>
      <c r="P18" s="204">
        <v>8401.0380000000005</v>
      </c>
      <c r="Q18" s="205">
        <v>8766.5480000000007</v>
      </c>
      <c r="R18" s="204">
        <v>8691.2999999999993</v>
      </c>
      <c r="S18" s="204">
        <v>8896.02</v>
      </c>
      <c r="T18" s="204">
        <v>9410.3700000000008</v>
      </c>
      <c r="U18" s="204">
        <v>9599.83</v>
      </c>
      <c r="W18" s="204">
        <v>8691.2999999999993</v>
      </c>
      <c r="X18" s="204">
        <v>8896</v>
      </c>
      <c r="Y18" s="204">
        <v>9410.3700000000008</v>
      </c>
      <c r="Z18" s="205">
        <v>9599.83</v>
      </c>
      <c r="AA18" s="204">
        <v>9712.4500000000007</v>
      </c>
      <c r="AB18" s="204">
        <v>9605.82</v>
      </c>
      <c r="AC18" s="204">
        <v>9592.5</v>
      </c>
      <c r="AD18" s="204">
        <v>9690.2199999999993</v>
      </c>
      <c r="AE18" s="22">
        <f>AD18/Z18-1</f>
        <v>9.4157917379786848E-3</v>
      </c>
      <c r="AF18" s="22">
        <f t="shared" ref="AF18:AF23" si="8">AD18/AC18-1</f>
        <v>1.0187125358352755E-2</v>
      </c>
      <c r="AG18" s="206"/>
      <c r="AH18" s="204">
        <v>12585.8</v>
      </c>
      <c r="AI18" s="204">
        <v>12484.21</v>
      </c>
      <c r="AJ18" s="204">
        <v>12544.51</v>
      </c>
      <c r="AK18" s="205">
        <v>12595.79</v>
      </c>
      <c r="AL18" s="204">
        <v>12599.03</v>
      </c>
      <c r="AM18" s="204">
        <v>12961.24</v>
      </c>
      <c r="AN18" s="204">
        <v>13055.05</v>
      </c>
      <c r="AO18" s="207">
        <v>13157.96</v>
      </c>
      <c r="AP18" s="204">
        <v>12969.38</v>
      </c>
      <c r="AQ18" s="208">
        <v>12782.92</v>
      </c>
      <c r="AR18" s="208">
        <v>12822.01</v>
      </c>
      <c r="AS18" s="207">
        <v>12721.88</v>
      </c>
      <c r="AT18" s="204">
        <v>12788.79</v>
      </c>
      <c r="AU18" s="204">
        <v>12787.31</v>
      </c>
      <c r="AV18" s="204">
        <v>12478.96</v>
      </c>
      <c r="AW18" s="204">
        <v>13349.2</v>
      </c>
      <c r="AX18" s="204">
        <v>14816.17</v>
      </c>
      <c r="AY18" s="204">
        <v>14737.96</v>
      </c>
      <c r="AZ18" s="204">
        <v>15051.67</v>
      </c>
      <c r="BA18" s="204">
        <v>14928.6</v>
      </c>
      <c r="BB18" s="204">
        <v>14397.95</v>
      </c>
      <c r="BC18" s="204">
        <v>14249.42</v>
      </c>
      <c r="BD18" s="204">
        <v>13895.99</v>
      </c>
      <c r="BE18" s="204">
        <v>13565.96</v>
      </c>
      <c r="BF18" s="204">
        <v>13095.93</v>
      </c>
      <c r="BG18" s="189"/>
      <c r="BH18" s="22">
        <v>-9.0399999999999994E-2</v>
      </c>
      <c r="BI18" s="22">
        <v>-3.4599999999999999E-2</v>
      </c>
    </row>
    <row r="19" spans="1:61">
      <c r="A19" s="186" t="s">
        <v>159</v>
      </c>
      <c r="B19" s="204">
        <v>2359.2999999999997</v>
      </c>
      <c r="C19" s="204">
        <v>2336</v>
      </c>
      <c r="D19" s="204">
        <v>2253</v>
      </c>
      <c r="E19" s="205">
        <v>2672.1</v>
      </c>
      <c r="F19" s="204">
        <v>2530.6999999999998</v>
      </c>
      <c r="G19" s="204">
        <v>3120</v>
      </c>
      <c r="H19" s="204">
        <v>4094.1</v>
      </c>
      <c r="I19" s="205">
        <v>5065</v>
      </c>
      <c r="J19" s="204">
        <v>5043</v>
      </c>
      <c r="K19" s="204">
        <v>4973.4000000000005</v>
      </c>
      <c r="L19" s="204">
        <v>5051.4000000000005</v>
      </c>
      <c r="M19" s="205">
        <v>5012.3999999999996</v>
      </c>
      <c r="N19" s="204">
        <v>5461.7</v>
      </c>
      <c r="O19" s="204">
        <v>6879</v>
      </c>
      <c r="P19" s="204">
        <v>7222.7550000000001</v>
      </c>
      <c r="Q19" s="205">
        <v>7365.9669999999996</v>
      </c>
      <c r="R19" s="204">
        <v>7370.57</v>
      </c>
      <c r="S19" s="204">
        <v>7320.09</v>
      </c>
      <c r="T19" s="204">
        <v>7415.88</v>
      </c>
      <c r="U19" s="204">
        <v>7292.54</v>
      </c>
      <c r="W19" s="204">
        <v>7370.57</v>
      </c>
      <c r="X19" s="204">
        <v>7320</v>
      </c>
      <c r="Y19" s="204">
        <v>7415.875</v>
      </c>
      <c r="Z19" s="205">
        <v>7292.5447000000004</v>
      </c>
      <c r="AA19" s="204">
        <v>7173.46</v>
      </c>
      <c r="AB19" s="204">
        <v>7604.11</v>
      </c>
      <c r="AC19" s="204">
        <v>7516.5</v>
      </c>
      <c r="AD19" s="204">
        <v>7530.73</v>
      </c>
      <c r="AE19" s="22">
        <f t="shared" ref="AE19:AE23" si="9">AD19/Z19-1</f>
        <v>3.2661479606700183E-2</v>
      </c>
      <c r="AF19" s="22">
        <f t="shared" si="8"/>
        <v>1.8931683629348495E-3</v>
      </c>
      <c r="AG19" s="206"/>
      <c r="AH19" s="204">
        <v>4253.34</v>
      </c>
      <c r="AI19" s="204">
        <v>4682.5200000000004</v>
      </c>
      <c r="AJ19" s="204">
        <v>4551.08</v>
      </c>
      <c r="AK19" s="205">
        <v>4622.03</v>
      </c>
      <c r="AL19" s="204">
        <v>5055.3100000000004</v>
      </c>
      <c r="AM19" s="204">
        <v>4615.45</v>
      </c>
      <c r="AN19" s="204">
        <v>4649.18</v>
      </c>
      <c r="AO19" s="207">
        <v>4808.25</v>
      </c>
      <c r="AP19" s="204">
        <v>4816.1000000000004</v>
      </c>
      <c r="AQ19" s="208">
        <v>4825.4399999999996</v>
      </c>
      <c r="AR19" s="208">
        <v>5155.91</v>
      </c>
      <c r="AS19" s="207">
        <v>5277.3</v>
      </c>
      <c r="AT19" s="204">
        <v>5281.04</v>
      </c>
      <c r="AU19" s="204">
        <v>5593.52</v>
      </c>
      <c r="AV19" s="204">
        <v>5393.59</v>
      </c>
      <c r="AW19" s="204">
        <v>5556.72</v>
      </c>
      <c r="AX19" s="204">
        <v>5889.92</v>
      </c>
      <c r="AY19" s="204">
        <v>6037.99</v>
      </c>
      <c r="AZ19" s="204">
        <v>5453.24</v>
      </c>
      <c r="BA19" s="204">
        <v>5607.36</v>
      </c>
      <c r="BB19" s="204">
        <v>5802.15</v>
      </c>
      <c r="BC19" s="204">
        <v>6364</v>
      </c>
      <c r="BD19" s="204">
        <v>4896.88</v>
      </c>
      <c r="BE19" s="204">
        <v>4048.91</v>
      </c>
      <c r="BF19" s="204">
        <v>3463.02</v>
      </c>
      <c r="BG19" s="189"/>
      <c r="BH19" s="191">
        <v>-0.40310000000000001</v>
      </c>
      <c r="BI19" s="191">
        <v>-0.1447</v>
      </c>
    </row>
    <row r="20" spans="1:61">
      <c r="A20" s="186" t="s">
        <v>160</v>
      </c>
      <c r="B20" s="204">
        <v>3397</v>
      </c>
      <c r="C20" s="204">
        <v>3379.8</v>
      </c>
      <c r="D20" s="204">
        <v>2979.7</v>
      </c>
      <c r="E20" s="205">
        <v>3097.6</v>
      </c>
      <c r="F20" s="204">
        <v>2943.2</v>
      </c>
      <c r="G20" s="204">
        <v>2909.8</v>
      </c>
      <c r="H20" s="204">
        <v>2872.5</v>
      </c>
      <c r="I20" s="205">
        <v>2871</v>
      </c>
      <c r="J20" s="204">
        <v>2590.1999999999998</v>
      </c>
      <c r="K20" s="204">
        <v>2675.4</v>
      </c>
      <c r="L20" s="204">
        <v>2639.5</v>
      </c>
      <c r="M20" s="205">
        <v>2661</v>
      </c>
      <c r="N20" s="204">
        <v>2403.4</v>
      </c>
      <c r="O20" s="204">
        <v>2751</v>
      </c>
      <c r="P20" s="209">
        <v>2781.4459999999999</v>
      </c>
      <c r="Q20" s="205">
        <v>2829.855</v>
      </c>
      <c r="R20" s="204">
        <v>2352.078</v>
      </c>
      <c r="S20" s="204">
        <v>2491.85</v>
      </c>
      <c r="T20" s="204">
        <v>2454.6350000000002</v>
      </c>
      <c r="U20" s="204">
        <v>2400.5050000000001</v>
      </c>
      <c r="W20" s="204">
        <v>2352.078</v>
      </c>
      <c r="X20" s="204">
        <v>2491.85</v>
      </c>
      <c r="Y20" s="204">
        <v>2454.6350000000002</v>
      </c>
      <c r="Z20" s="205">
        <v>2400.5030000000002</v>
      </c>
      <c r="AA20" s="209">
        <v>2089.7600000000002</v>
      </c>
      <c r="AB20" s="209">
        <v>1948.01</v>
      </c>
      <c r="AC20" s="209">
        <v>1913.46</v>
      </c>
      <c r="AD20" s="209">
        <v>1954.11</v>
      </c>
      <c r="AE20" s="49">
        <f t="shared" si="9"/>
        <v>-0.18595810961286041</v>
      </c>
      <c r="AF20" s="25">
        <f t="shared" si="8"/>
        <v>2.124423818632204E-2</v>
      </c>
      <c r="AH20" s="204">
        <v>2089.7600000000002</v>
      </c>
      <c r="AI20" s="204">
        <v>1948.01</v>
      </c>
      <c r="AJ20" s="204">
        <v>1913.46</v>
      </c>
      <c r="AK20" s="205">
        <v>1954.11</v>
      </c>
      <c r="AL20" s="209">
        <v>2111.3000000000002</v>
      </c>
      <c r="AM20" s="209">
        <v>2088.17</v>
      </c>
      <c r="AN20" s="209">
        <v>2377.13</v>
      </c>
      <c r="AO20" s="207">
        <v>2439.9899999999998</v>
      </c>
      <c r="AP20" s="209">
        <v>2394.65</v>
      </c>
      <c r="AQ20" s="210">
        <v>2647.85</v>
      </c>
      <c r="AR20" s="210">
        <v>2505.11</v>
      </c>
      <c r="AS20" s="207">
        <v>2654.53</v>
      </c>
      <c r="AT20" s="209">
        <v>2487.02</v>
      </c>
      <c r="AU20" s="209">
        <v>2584.7399999999998</v>
      </c>
      <c r="AV20" s="209">
        <v>2507.6799999999998</v>
      </c>
      <c r="AW20" s="209">
        <v>2621.64</v>
      </c>
      <c r="AX20" s="209">
        <v>2594.1</v>
      </c>
      <c r="AY20" s="209">
        <v>2552</v>
      </c>
      <c r="AZ20" s="209">
        <v>2715.48</v>
      </c>
      <c r="BA20" s="209">
        <v>2774.57</v>
      </c>
      <c r="BB20" s="209">
        <v>2405.9</v>
      </c>
      <c r="BC20" s="209">
        <v>2690.87</v>
      </c>
      <c r="BD20" s="209">
        <v>2587.12</v>
      </c>
      <c r="BE20" s="209">
        <v>3041.06</v>
      </c>
      <c r="BF20" s="209">
        <v>3022.01</v>
      </c>
      <c r="BG20" s="189"/>
      <c r="BH20" s="49">
        <v>0.25609999999999999</v>
      </c>
      <c r="BI20" s="25">
        <v>-6.3E-3</v>
      </c>
    </row>
    <row r="21" spans="1:61">
      <c r="A21" s="380" t="s">
        <v>161</v>
      </c>
      <c r="B21" s="240">
        <f>SUM(B17:B20)</f>
        <v>15430.3</v>
      </c>
      <c r="C21" s="240">
        <f t="shared" ref="C21:U21" si="10">SUM(C17:C20)</f>
        <v>14942.3</v>
      </c>
      <c r="D21" s="240">
        <f t="shared" si="10"/>
        <v>14438</v>
      </c>
      <c r="E21" s="241">
        <f t="shared" si="10"/>
        <v>11926.800000000001</v>
      </c>
      <c r="F21" s="240">
        <f t="shared" si="10"/>
        <v>14040.400000000001</v>
      </c>
      <c r="G21" s="240">
        <f t="shared" si="10"/>
        <v>12655.3</v>
      </c>
      <c r="H21" s="240">
        <f t="shared" si="10"/>
        <v>14890.9</v>
      </c>
      <c r="I21" s="242">
        <f t="shared" si="10"/>
        <v>16487</v>
      </c>
      <c r="J21" s="243">
        <f t="shared" si="10"/>
        <v>16255.7</v>
      </c>
      <c r="K21" s="243">
        <f t="shared" si="10"/>
        <v>16520.300000000003</v>
      </c>
      <c r="L21" s="243">
        <f t="shared" si="10"/>
        <v>16810.600000000002</v>
      </c>
      <c r="M21" s="242">
        <f t="shared" si="10"/>
        <v>17018</v>
      </c>
      <c r="N21" s="243">
        <f t="shared" si="10"/>
        <v>17281.100000000002</v>
      </c>
      <c r="O21" s="243">
        <v>19202</v>
      </c>
      <c r="P21" s="243">
        <f t="shared" si="10"/>
        <v>19834.597600000001</v>
      </c>
      <c r="Q21" s="242">
        <f t="shared" si="10"/>
        <v>20382.690999999999</v>
      </c>
      <c r="R21" s="244">
        <f t="shared" si="10"/>
        <v>19817.277999999998</v>
      </c>
      <c r="S21" s="243">
        <f t="shared" si="10"/>
        <v>20169.96</v>
      </c>
      <c r="T21" s="243">
        <f t="shared" si="10"/>
        <v>20748.065000000002</v>
      </c>
      <c r="U21" s="243">
        <f t="shared" si="10"/>
        <v>20751.895</v>
      </c>
      <c r="V21" s="203"/>
      <c r="W21" s="243">
        <f t="shared" ref="W21" si="11">SUM(W17:W20)</f>
        <v>19817.277999999998</v>
      </c>
      <c r="X21" s="243">
        <v>20170</v>
      </c>
      <c r="Y21" s="243">
        <f t="shared" ref="Y21:AD21" si="12">SUM(Y17:Y20)</f>
        <v>20748.060000000005</v>
      </c>
      <c r="Z21" s="242">
        <f t="shared" si="12"/>
        <v>20751.897700000001</v>
      </c>
      <c r="AA21" s="243">
        <f t="shared" si="12"/>
        <v>20384.86</v>
      </c>
      <c r="AB21" s="243">
        <f t="shared" si="12"/>
        <v>20438.71</v>
      </c>
      <c r="AC21" s="243">
        <f t="shared" si="12"/>
        <v>20377.259999999998</v>
      </c>
      <c r="AD21" s="243">
        <f t="shared" si="12"/>
        <v>20439.73</v>
      </c>
      <c r="AE21" s="234">
        <f t="shared" si="9"/>
        <v>-1.5042850755764947E-2</v>
      </c>
      <c r="AF21" s="234">
        <f t="shared" si="8"/>
        <v>3.0656722248232349E-3</v>
      </c>
      <c r="AG21" s="245"/>
      <c r="AH21" s="243">
        <v>20338.09</v>
      </c>
      <c r="AI21" s="243">
        <v>20395.509999999998</v>
      </c>
      <c r="AJ21" s="243">
        <v>20363.849999999999</v>
      </c>
      <c r="AK21" s="242">
        <v>20436.599999999999</v>
      </c>
      <c r="AL21" s="243">
        <v>21126.240000000002</v>
      </c>
      <c r="AM21" s="243">
        <v>21012.17</v>
      </c>
      <c r="AN21" s="243">
        <v>21435.34</v>
      </c>
      <c r="AO21" s="246">
        <v>21664.18</v>
      </c>
      <c r="AP21" s="243">
        <v>21536.77</v>
      </c>
      <c r="AQ21" s="247">
        <v>21630.37</v>
      </c>
      <c r="AR21" s="248">
        <v>21862.799999999999</v>
      </c>
      <c r="AS21" s="246">
        <v>22045.52</v>
      </c>
      <c r="AT21" s="243">
        <v>21950.46</v>
      </c>
      <c r="AU21" s="243">
        <v>22334.15</v>
      </c>
      <c r="AV21" s="243">
        <v>21789.45</v>
      </c>
      <c r="AW21" s="243">
        <v>23036.09</v>
      </c>
      <c r="AX21" s="243">
        <v>24881.37</v>
      </c>
      <c r="AY21" s="243">
        <v>24904.2</v>
      </c>
      <c r="AZ21" s="243">
        <v>24849.040000000001</v>
      </c>
      <c r="BA21" s="243">
        <v>24799.68</v>
      </c>
      <c r="BB21" s="243">
        <v>24242.240000000002</v>
      </c>
      <c r="BC21" s="243">
        <v>25018.97</v>
      </c>
      <c r="BD21" s="243">
        <v>23140.66</v>
      </c>
      <c r="BE21" s="243">
        <v>22504.99</v>
      </c>
      <c r="BF21" s="243">
        <v>21215.61</v>
      </c>
      <c r="BG21" s="233"/>
      <c r="BH21" s="249">
        <v>-0.12479999999999999</v>
      </c>
      <c r="BI21" s="234">
        <v>-5.7299999999999997E-2</v>
      </c>
    </row>
    <row r="22" spans="1:61">
      <c r="A22" s="195" t="s">
        <v>162</v>
      </c>
      <c r="B22" s="196">
        <v>7967</v>
      </c>
      <c r="C22" s="196">
        <v>5615.5</v>
      </c>
      <c r="D22" s="196">
        <v>5951.3</v>
      </c>
      <c r="E22" s="42">
        <v>8485.1</v>
      </c>
      <c r="F22" s="196">
        <v>5680.3</v>
      </c>
      <c r="G22" s="196">
        <v>4768.3</v>
      </c>
      <c r="H22" s="196">
        <v>5877.5</v>
      </c>
      <c r="I22" s="159">
        <v>8591.7999999999993</v>
      </c>
      <c r="J22" s="193">
        <v>6835.6</v>
      </c>
      <c r="K22" s="193">
        <v>6014.7</v>
      </c>
      <c r="L22" s="193">
        <v>5269.7</v>
      </c>
      <c r="M22" s="159">
        <v>7534.2</v>
      </c>
      <c r="N22" s="193">
        <v>6437.3</v>
      </c>
      <c r="O22" s="198">
        <v>6098</v>
      </c>
      <c r="P22" s="198">
        <v>6188.7939999999999</v>
      </c>
      <c r="Q22" s="159">
        <v>8031.75</v>
      </c>
      <c r="R22" s="212">
        <v>7158.56</v>
      </c>
      <c r="S22" s="198">
        <v>6709.03</v>
      </c>
      <c r="T22" s="193">
        <v>5888.5450000000001</v>
      </c>
      <c r="U22" s="193">
        <v>10656.101000000001</v>
      </c>
      <c r="V22" s="144"/>
      <c r="W22" s="193">
        <v>7158.56</v>
      </c>
      <c r="X22" s="193">
        <v>6709</v>
      </c>
      <c r="Y22" s="193">
        <v>5888.5446000000002</v>
      </c>
      <c r="Z22" s="159">
        <v>10656.101000000001</v>
      </c>
      <c r="AA22" s="198">
        <v>6418.93</v>
      </c>
      <c r="AB22" s="198">
        <v>6371.78</v>
      </c>
      <c r="AC22" s="198">
        <v>6163.67</v>
      </c>
      <c r="AD22" s="198">
        <v>10359.879999999999</v>
      </c>
      <c r="AE22" s="25">
        <f t="shared" si="9"/>
        <v>-2.7798253789073635E-2</v>
      </c>
      <c r="AF22" s="49">
        <f t="shared" si="8"/>
        <v>0.68079731718278214</v>
      </c>
      <c r="AG22" s="144"/>
      <c r="AH22" s="193">
        <v>6418.93</v>
      </c>
      <c r="AI22" s="193">
        <v>6371.78</v>
      </c>
      <c r="AJ22" s="193">
        <v>6163.67</v>
      </c>
      <c r="AK22" s="159">
        <v>10359.879999999999</v>
      </c>
      <c r="AL22" s="193">
        <v>9628.4500000000007</v>
      </c>
      <c r="AM22" s="193">
        <v>6923.13</v>
      </c>
      <c r="AN22" s="193">
        <v>6204.71</v>
      </c>
      <c r="AO22" s="194">
        <v>13458.96</v>
      </c>
      <c r="AP22" s="193">
        <v>9141.1</v>
      </c>
      <c r="AQ22" s="201">
        <v>8768.5400000000009</v>
      </c>
      <c r="AR22" s="201">
        <v>9833.31</v>
      </c>
      <c r="AS22" s="194">
        <v>11353.2</v>
      </c>
      <c r="AT22" s="193">
        <v>9751.5</v>
      </c>
      <c r="AU22" s="193">
        <v>7370.27</v>
      </c>
      <c r="AV22" s="193">
        <v>8517.0400000000009</v>
      </c>
      <c r="AW22" s="193">
        <v>10637.76</v>
      </c>
      <c r="AX22" s="193">
        <v>9993.32</v>
      </c>
      <c r="AY22" s="193">
        <v>7395.48</v>
      </c>
      <c r="AZ22" s="193">
        <v>7773.49</v>
      </c>
      <c r="BA22" s="193">
        <v>10797.7</v>
      </c>
      <c r="BB22" s="193">
        <v>10726.03</v>
      </c>
      <c r="BC22" s="193">
        <v>9434.2999999999993</v>
      </c>
      <c r="BD22" s="193">
        <v>8508.0300000000007</v>
      </c>
      <c r="BE22" s="193">
        <v>12891.59</v>
      </c>
      <c r="BF22" s="193">
        <v>11556.33</v>
      </c>
      <c r="BG22" s="189"/>
      <c r="BH22" s="22">
        <v>7.7399999999999997E-2</v>
      </c>
      <c r="BI22" s="191">
        <v>-0.1036</v>
      </c>
    </row>
    <row r="23" spans="1:61">
      <c r="A23" s="382" t="s">
        <v>163</v>
      </c>
      <c r="B23" s="235">
        <f>B21+B22</f>
        <v>23397.3</v>
      </c>
      <c r="C23" s="235">
        <f t="shared" ref="C23:P23" si="13">C21+C22</f>
        <v>20557.8</v>
      </c>
      <c r="D23" s="235">
        <f t="shared" si="13"/>
        <v>20389.3</v>
      </c>
      <c r="E23" s="236">
        <f t="shared" si="13"/>
        <v>20411.900000000001</v>
      </c>
      <c r="F23" s="235">
        <f t="shared" si="13"/>
        <v>19720.7</v>
      </c>
      <c r="G23" s="235">
        <f t="shared" si="13"/>
        <v>17423.599999999999</v>
      </c>
      <c r="H23" s="235">
        <f t="shared" si="13"/>
        <v>20768.400000000001</v>
      </c>
      <c r="I23" s="356">
        <f t="shared" si="13"/>
        <v>25078.799999999999</v>
      </c>
      <c r="J23" s="357">
        <f t="shared" si="13"/>
        <v>23091.300000000003</v>
      </c>
      <c r="K23" s="357">
        <f t="shared" si="13"/>
        <v>22535.000000000004</v>
      </c>
      <c r="L23" s="357">
        <f t="shared" si="13"/>
        <v>22080.300000000003</v>
      </c>
      <c r="M23" s="356">
        <f t="shared" si="13"/>
        <v>24552.2</v>
      </c>
      <c r="N23" s="357">
        <f t="shared" si="13"/>
        <v>23718.400000000001</v>
      </c>
      <c r="O23" s="358">
        <v>25299</v>
      </c>
      <c r="P23" s="357">
        <f t="shared" si="13"/>
        <v>26023.391600000003</v>
      </c>
      <c r="Q23" s="356">
        <f>Q21+Q22</f>
        <v>28414.440999999999</v>
      </c>
      <c r="R23" s="232">
        <f>R21+R22</f>
        <v>26975.838</v>
      </c>
      <c r="S23" s="232">
        <f>S21+S22</f>
        <v>26878.989999999998</v>
      </c>
      <c r="T23" s="232">
        <f>T21+T22</f>
        <v>26636.61</v>
      </c>
      <c r="U23" s="232">
        <f>U21+U22</f>
        <v>31407.995999999999</v>
      </c>
      <c r="V23" s="203"/>
      <c r="W23" s="356">
        <f t="shared" ref="W23:AD23" si="14">W21+W22</f>
        <v>26975.838</v>
      </c>
      <c r="X23" s="356">
        <f t="shared" si="14"/>
        <v>26879</v>
      </c>
      <c r="Y23" s="356">
        <f t="shared" si="14"/>
        <v>26636.604600000006</v>
      </c>
      <c r="Z23" s="231">
        <f t="shared" si="14"/>
        <v>31407.998700000004</v>
      </c>
      <c r="AA23" s="232">
        <f t="shared" si="14"/>
        <v>26803.79</v>
      </c>
      <c r="AB23" s="232">
        <f t="shared" si="14"/>
        <v>26810.489999999998</v>
      </c>
      <c r="AC23" s="232">
        <f t="shared" si="14"/>
        <v>26540.93</v>
      </c>
      <c r="AD23" s="232">
        <f t="shared" si="14"/>
        <v>30799.61</v>
      </c>
      <c r="AE23" s="359">
        <f t="shared" si="9"/>
        <v>-1.9370501947964081E-2</v>
      </c>
      <c r="AF23" s="360">
        <f t="shared" si="8"/>
        <v>0.16045707516654462</v>
      </c>
      <c r="AG23" s="203"/>
      <c r="AH23" s="232">
        <v>26757.02</v>
      </c>
      <c r="AI23" s="232">
        <v>26767.29</v>
      </c>
      <c r="AJ23" s="232">
        <v>26527.52</v>
      </c>
      <c r="AK23" s="231">
        <v>30796.48</v>
      </c>
      <c r="AL23" s="232">
        <v>30754.69</v>
      </c>
      <c r="AM23" s="232">
        <v>27935.3</v>
      </c>
      <c r="AN23" s="232">
        <v>27640.05</v>
      </c>
      <c r="AO23" s="231">
        <v>35123.14</v>
      </c>
      <c r="AP23" s="232">
        <v>30677.87</v>
      </c>
      <c r="AQ23" s="232">
        <v>30398.91</v>
      </c>
      <c r="AR23" s="232">
        <v>31696.11</v>
      </c>
      <c r="AS23" s="231">
        <v>33398.720000000001</v>
      </c>
      <c r="AT23" s="232">
        <v>31701.97</v>
      </c>
      <c r="AU23" s="232">
        <v>29704.42</v>
      </c>
      <c r="AV23" s="232">
        <v>30306.49</v>
      </c>
      <c r="AW23" s="232">
        <v>33673.85</v>
      </c>
      <c r="AX23" s="232">
        <v>34874.69</v>
      </c>
      <c r="AY23" s="232">
        <v>32299.69</v>
      </c>
      <c r="AZ23" s="232">
        <v>32622.53</v>
      </c>
      <c r="BA23" s="232">
        <v>35597.379999999997</v>
      </c>
      <c r="BB23" s="232">
        <v>34968.269999999997</v>
      </c>
      <c r="BC23" s="232">
        <v>34453.269999999997</v>
      </c>
      <c r="BD23" s="232">
        <v>31648.69</v>
      </c>
      <c r="BE23" s="232">
        <v>35396.58</v>
      </c>
      <c r="BF23" s="232">
        <v>32771.94</v>
      </c>
      <c r="BG23" s="233"/>
      <c r="BH23" s="229">
        <v>-6.2799999999999995E-2</v>
      </c>
      <c r="BI23" s="229">
        <v>-7.4099999999999999E-2</v>
      </c>
    </row>
    <row r="24" spans="1:61">
      <c r="A24" s="381"/>
      <c r="B24" s="361"/>
      <c r="C24" s="361"/>
      <c r="D24" s="361"/>
      <c r="E24" s="361"/>
      <c r="F24" s="361"/>
      <c r="G24" s="361"/>
      <c r="H24" s="361"/>
      <c r="I24" s="362"/>
      <c r="J24" s="362"/>
      <c r="K24" s="362"/>
      <c r="L24" s="362"/>
      <c r="M24" s="362"/>
      <c r="N24" s="362"/>
      <c r="O24" s="362"/>
      <c r="P24" s="362"/>
      <c r="Q24" s="362"/>
      <c r="R24" s="248"/>
      <c r="S24" s="248"/>
      <c r="T24" s="248"/>
      <c r="U24" s="248"/>
      <c r="V24" s="203"/>
      <c r="W24" s="362"/>
      <c r="X24" s="362"/>
      <c r="Y24" s="362"/>
      <c r="Z24" s="248"/>
      <c r="AA24" s="248"/>
      <c r="AB24" s="248"/>
      <c r="AC24" s="248"/>
      <c r="AD24" s="248"/>
      <c r="AE24" s="363"/>
      <c r="AF24" s="364"/>
      <c r="AG24" s="203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33"/>
      <c r="BH24" s="234"/>
      <c r="BI24" s="234"/>
    </row>
    <row r="25" spans="1:61">
      <c r="A25" s="381" t="s">
        <v>164</v>
      </c>
      <c r="B25" s="365">
        <f t="shared" ref="B25:U25" si="15">B15-B23</f>
        <v>17139.099999999995</v>
      </c>
      <c r="C25" s="365">
        <f t="shared" si="15"/>
        <v>17565.599999999995</v>
      </c>
      <c r="D25" s="365">
        <f t="shared" si="15"/>
        <v>16379.3</v>
      </c>
      <c r="E25" s="365">
        <f t="shared" si="15"/>
        <v>19372.5</v>
      </c>
      <c r="F25" s="365">
        <f t="shared" si="15"/>
        <v>17531.600000000002</v>
      </c>
      <c r="G25" s="365">
        <f t="shared" si="15"/>
        <v>19058.799999999996</v>
      </c>
      <c r="H25" s="365">
        <f t="shared" si="15"/>
        <v>16327.299999999996</v>
      </c>
      <c r="I25" s="365">
        <f t="shared" si="15"/>
        <v>16240.599999999995</v>
      </c>
      <c r="J25" s="365">
        <f t="shared" si="15"/>
        <v>15766.699999999997</v>
      </c>
      <c r="K25" s="365">
        <f t="shared" si="15"/>
        <v>16543.499999999996</v>
      </c>
      <c r="L25" s="365">
        <f t="shared" si="15"/>
        <v>16499.699999999997</v>
      </c>
      <c r="M25" s="365">
        <f t="shared" si="15"/>
        <v>16653.257999999998</v>
      </c>
      <c r="N25" s="365">
        <f t="shared" si="15"/>
        <v>17214.919999999998</v>
      </c>
      <c r="O25" s="365">
        <f t="shared" si="15"/>
        <v>16929</v>
      </c>
      <c r="P25" s="365">
        <f t="shared" si="15"/>
        <v>16086.760756509997</v>
      </c>
      <c r="Q25" s="365">
        <f t="shared" si="15"/>
        <v>16169.593000000001</v>
      </c>
      <c r="R25" s="365">
        <f t="shared" si="15"/>
        <v>16848.432000000004</v>
      </c>
      <c r="S25" s="365">
        <f t="shared" si="15"/>
        <v>17808.707708979993</v>
      </c>
      <c r="T25" s="365">
        <f t="shared" si="15"/>
        <v>18820.140590045776</v>
      </c>
      <c r="U25" s="365">
        <f t="shared" si="15"/>
        <v>18055.527876229906</v>
      </c>
      <c r="V25" s="365"/>
      <c r="W25" s="365">
        <f t="shared" ref="W25:AD25" si="16">W15-W23</f>
        <v>16285.838399999997</v>
      </c>
      <c r="X25" s="365">
        <f t="shared" si="16"/>
        <v>17202.479999999996</v>
      </c>
      <c r="Y25" s="365">
        <f t="shared" si="16"/>
        <v>18096.31289999999</v>
      </c>
      <c r="Z25" s="365">
        <f t="shared" si="16"/>
        <v>17409.657299999999</v>
      </c>
      <c r="AA25" s="365">
        <f t="shared" si="16"/>
        <v>16041.615999999995</v>
      </c>
      <c r="AB25" s="365">
        <f t="shared" si="16"/>
        <v>15445.389999999992</v>
      </c>
      <c r="AC25" s="365">
        <f t="shared" si="16"/>
        <v>15174.080000000002</v>
      </c>
      <c r="AD25" s="365">
        <f t="shared" si="16"/>
        <v>15274.36</v>
      </c>
      <c r="AE25" s="366">
        <f>(AD25-Z25)/Z25</f>
        <v>-0.12265016267723998</v>
      </c>
      <c r="AF25" s="367">
        <f>(AD25-AC25)/AC25</f>
        <v>6.6086378877664295E-3</v>
      </c>
      <c r="AG25" s="365"/>
      <c r="AH25" s="365">
        <v>16088.39</v>
      </c>
      <c r="AI25" s="365">
        <v>15488.6</v>
      </c>
      <c r="AJ25" s="365">
        <v>15187.49</v>
      </c>
      <c r="AK25" s="365">
        <v>15277.49</v>
      </c>
      <c r="AL25" s="365">
        <v>15106.48</v>
      </c>
      <c r="AM25" s="365">
        <v>14821.62</v>
      </c>
      <c r="AN25" s="365">
        <v>14736.51</v>
      </c>
      <c r="AO25" s="365">
        <v>15215.11</v>
      </c>
      <c r="AP25" s="365">
        <v>14601.1</v>
      </c>
      <c r="AQ25" s="365">
        <v>14873.81</v>
      </c>
      <c r="AR25" s="365">
        <v>14538.38</v>
      </c>
      <c r="AS25" s="365">
        <v>15299.87</v>
      </c>
      <c r="AT25" s="365">
        <v>15010.39</v>
      </c>
      <c r="AU25" s="365">
        <v>15069.9</v>
      </c>
      <c r="AV25" s="365">
        <v>15762.19</v>
      </c>
      <c r="AW25" s="365">
        <v>17643.7</v>
      </c>
      <c r="AX25" s="365">
        <v>18418.189999999999</v>
      </c>
      <c r="AY25" s="365">
        <v>19032.439999999999</v>
      </c>
      <c r="AZ25" s="365">
        <v>19586.27</v>
      </c>
      <c r="BA25" s="365">
        <v>21138.14</v>
      </c>
      <c r="BB25" s="365">
        <v>21342.58</v>
      </c>
      <c r="BC25" s="365">
        <v>21590.560000000001</v>
      </c>
      <c r="BD25" s="365">
        <v>22713.02</v>
      </c>
      <c r="BE25" s="365">
        <v>24150.83</v>
      </c>
      <c r="BF25" s="365">
        <v>25425.5</v>
      </c>
      <c r="BG25" s="233"/>
      <c r="BH25" s="352">
        <v>0.1913</v>
      </c>
      <c r="BI25" s="368">
        <v>5.28E-2</v>
      </c>
    </row>
    <row r="26" spans="1:61">
      <c r="A26" s="186" t="s">
        <v>165</v>
      </c>
      <c r="B26" s="204">
        <v>1331.7</v>
      </c>
      <c r="C26" s="204">
        <v>1627.3</v>
      </c>
      <c r="D26" s="204">
        <v>1733.2</v>
      </c>
      <c r="E26" s="205">
        <v>2208.8000000000002</v>
      </c>
      <c r="F26" s="204">
        <v>5076</v>
      </c>
      <c r="G26" s="204">
        <v>3120.9</v>
      </c>
      <c r="H26" s="204">
        <v>3827.6</v>
      </c>
      <c r="I26" s="205">
        <v>3987.9</v>
      </c>
      <c r="J26" s="204">
        <v>2156.6</v>
      </c>
      <c r="K26" s="204">
        <v>2869.4</v>
      </c>
      <c r="L26" s="204">
        <v>2607.5</v>
      </c>
      <c r="M26" s="205">
        <v>2356.5</v>
      </c>
      <c r="N26" s="204">
        <v>2249.6999999999998</v>
      </c>
      <c r="O26" s="204">
        <v>2160</v>
      </c>
      <c r="P26" s="204">
        <v>2426.4699999999998</v>
      </c>
      <c r="Q26" s="205">
        <v>2712.884</v>
      </c>
      <c r="R26" s="213">
        <v>2587.4092855533499</v>
      </c>
      <c r="S26" s="204">
        <v>2715.36</v>
      </c>
      <c r="T26" s="204">
        <v>2570.2890000000002</v>
      </c>
      <c r="U26" s="204">
        <v>3447.43</v>
      </c>
      <c r="W26" s="204">
        <v>1933.68</v>
      </c>
      <c r="X26" s="204">
        <v>1906.14</v>
      </c>
      <c r="Y26" s="204">
        <v>1498.5315000000001</v>
      </c>
      <c r="Z26" s="205">
        <v>2522.96</v>
      </c>
      <c r="AA26" s="204">
        <v>1761.83</v>
      </c>
      <c r="AB26" s="204">
        <v>1600.17</v>
      </c>
      <c r="AC26" s="204">
        <v>1552.31</v>
      </c>
      <c r="AD26" s="204">
        <v>1683.92</v>
      </c>
      <c r="AE26" s="191">
        <f>AD26/Z26-1</f>
        <v>-0.33256175286171796</v>
      </c>
      <c r="AF26" s="22">
        <f>AD26/AC26-1</f>
        <v>8.4783322918746906E-2</v>
      </c>
      <c r="AG26" s="206"/>
      <c r="AH26" s="204">
        <v>1761.83</v>
      </c>
      <c r="AI26" s="204">
        <v>1600.17</v>
      </c>
      <c r="AJ26" s="204">
        <v>1552.31</v>
      </c>
      <c r="AK26" s="205">
        <v>1683.92</v>
      </c>
      <c r="AL26" s="204">
        <v>1642.31</v>
      </c>
      <c r="AM26" s="204">
        <v>1237.47</v>
      </c>
      <c r="AN26" s="204">
        <v>1430.15</v>
      </c>
      <c r="AO26" s="207">
        <v>1725.13</v>
      </c>
      <c r="AP26" s="204">
        <v>1491.27</v>
      </c>
      <c r="AQ26" s="208">
        <v>1839.87</v>
      </c>
      <c r="AR26" s="208">
        <v>1821.47</v>
      </c>
      <c r="AS26" s="207">
        <v>1873.53</v>
      </c>
      <c r="AT26" s="204">
        <v>1482.12</v>
      </c>
      <c r="AU26" s="204">
        <v>1174.8900000000001</v>
      </c>
      <c r="AV26" s="204">
        <v>1125.69</v>
      </c>
      <c r="AW26" s="204">
        <v>2001.03</v>
      </c>
      <c r="AX26" s="204">
        <v>1322.15</v>
      </c>
      <c r="AY26" s="204">
        <v>1239.08</v>
      </c>
      <c r="AZ26" s="204">
        <v>1447.41</v>
      </c>
      <c r="BA26" s="204">
        <v>1749.46</v>
      </c>
      <c r="BB26" s="204">
        <v>1494.61</v>
      </c>
      <c r="BC26" s="204">
        <v>1421.92</v>
      </c>
      <c r="BD26" s="204">
        <v>1499.6</v>
      </c>
      <c r="BE26" s="204">
        <v>1659.77</v>
      </c>
      <c r="BF26" s="204">
        <v>1622.73</v>
      </c>
      <c r="BG26" s="189"/>
      <c r="BH26" s="22">
        <v>8.5699999999999998E-2</v>
      </c>
      <c r="BI26" s="22">
        <v>-2.23E-2</v>
      </c>
    </row>
    <row r="27" spans="1:61">
      <c r="A27" s="186" t="s">
        <v>166</v>
      </c>
      <c r="B27" s="204">
        <v>3344.7</v>
      </c>
      <c r="C27" s="204">
        <v>3248.4</v>
      </c>
      <c r="D27" s="204">
        <v>3163.2</v>
      </c>
      <c r="E27" s="205">
        <v>3434.2</v>
      </c>
      <c r="F27" s="204">
        <v>3019.2</v>
      </c>
      <c r="G27" s="204">
        <v>3338.6</v>
      </c>
      <c r="H27" s="204">
        <v>3432.7</v>
      </c>
      <c r="I27" s="205">
        <v>3972.8</v>
      </c>
      <c r="J27" s="204">
        <v>3282</v>
      </c>
      <c r="K27" s="204">
        <v>3831.2</v>
      </c>
      <c r="L27" s="204">
        <v>3991.7</v>
      </c>
      <c r="M27" s="205">
        <v>3981.8</v>
      </c>
      <c r="N27" s="204">
        <v>4086.1</v>
      </c>
      <c r="O27" s="204">
        <v>4037</v>
      </c>
      <c r="P27" s="204">
        <v>4367.57</v>
      </c>
      <c r="Q27" s="205">
        <v>4254.7700000000004</v>
      </c>
      <c r="R27" s="213">
        <v>4198.4473509107402</v>
      </c>
      <c r="S27" s="204">
        <v>4990.8</v>
      </c>
      <c r="T27" s="204">
        <v>4656.2700000000004</v>
      </c>
      <c r="U27" s="204">
        <v>5359.87</v>
      </c>
      <c r="W27" s="204">
        <v>4328.18</v>
      </c>
      <c r="X27" s="204">
        <v>5141.28</v>
      </c>
      <c r="Y27" s="204">
        <v>4832.7839999999997</v>
      </c>
      <c r="Z27" s="205">
        <v>5576.9</v>
      </c>
      <c r="AA27" s="204">
        <v>4525.7969999999996</v>
      </c>
      <c r="AB27" s="204">
        <v>4420.7700000000004</v>
      </c>
      <c r="AC27" s="204">
        <v>4487.2</v>
      </c>
      <c r="AD27" s="204">
        <v>4348.49</v>
      </c>
      <c r="AE27" s="49">
        <f t="shared" ref="AE27" si="17">AD27/Z27-1</f>
        <v>-0.22026753214151229</v>
      </c>
      <c r="AF27" s="25">
        <f t="shared" ref="AF27" si="18">AD27/AC27-1</f>
        <v>-3.0912372972009328E-2</v>
      </c>
      <c r="AG27" s="206"/>
      <c r="AH27" s="204">
        <v>4511.32</v>
      </c>
      <c r="AI27" s="204">
        <v>4425.5</v>
      </c>
      <c r="AJ27" s="204">
        <v>4454.17</v>
      </c>
      <c r="AK27" s="205">
        <v>4341.6499999999996</v>
      </c>
      <c r="AL27" s="204">
        <v>3851.54</v>
      </c>
      <c r="AM27" s="204">
        <v>3907.86</v>
      </c>
      <c r="AN27" s="204">
        <v>3805</v>
      </c>
      <c r="AO27" s="207">
        <v>4095.77</v>
      </c>
      <c r="AP27" s="204">
        <v>4046.14</v>
      </c>
      <c r="AQ27" s="208">
        <v>3850.23</v>
      </c>
      <c r="AR27" s="208">
        <v>3811.78</v>
      </c>
      <c r="AS27" s="207">
        <v>3618.86</v>
      </c>
      <c r="AT27" s="204">
        <v>4118.75</v>
      </c>
      <c r="AU27" s="204">
        <v>3771.76</v>
      </c>
      <c r="AV27" s="204">
        <v>3867</v>
      </c>
      <c r="AW27" s="204">
        <v>5437.22</v>
      </c>
      <c r="AX27" s="204">
        <v>4567.53</v>
      </c>
      <c r="AY27" s="204">
        <v>5335.02</v>
      </c>
      <c r="AZ27" s="204">
        <v>5917.6</v>
      </c>
      <c r="BA27" s="204">
        <v>6212.37</v>
      </c>
      <c r="BB27" s="204">
        <v>5060.4799999999996</v>
      </c>
      <c r="BC27" s="204">
        <v>5038.3500000000004</v>
      </c>
      <c r="BD27" s="204">
        <v>4677.75</v>
      </c>
      <c r="BE27" s="204">
        <v>5208.42</v>
      </c>
      <c r="BF27" s="204">
        <v>5586.16</v>
      </c>
      <c r="BG27" s="189"/>
      <c r="BH27" s="191">
        <v>0.10390000000000001</v>
      </c>
      <c r="BI27" s="22">
        <v>7.2499999999999995E-2</v>
      </c>
    </row>
    <row r="28" spans="1:61">
      <c r="A28" s="382" t="s">
        <v>167</v>
      </c>
      <c r="B28" s="235">
        <f t="shared" ref="B28:U28" si="19">+SUM(B26:B27)</f>
        <v>4676.3999999999996</v>
      </c>
      <c r="C28" s="235">
        <f t="shared" si="19"/>
        <v>4875.7</v>
      </c>
      <c r="D28" s="235">
        <f t="shared" si="19"/>
        <v>4896.3999999999996</v>
      </c>
      <c r="E28" s="236">
        <f t="shared" si="19"/>
        <v>5643</v>
      </c>
      <c r="F28" s="235">
        <f t="shared" si="19"/>
        <v>8095.2</v>
      </c>
      <c r="G28" s="235">
        <f t="shared" si="19"/>
        <v>6459.5</v>
      </c>
      <c r="H28" s="235">
        <f t="shared" si="19"/>
        <v>7260.2999999999993</v>
      </c>
      <c r="I28" s="237">
        <f t="shared" si="19"/>
        <v>7960.7000000000007</v>
      </c>
      <c r="J28" s="238">
        <f t="shared" si="19"/>
        <v>5438.6</v>
      </c>
      <c r="K28" s="238">
        <f t="shared" si="19"/>
        <v>6700.6</v>
      </c>
      <c r="L28" s="238">
        <f t="shared" si="19"/>
        <v>6599.2</v>
      </c>
      <c r="M28" s="237">
        <f t="shared" si="19"/>
        <v>6338.3</v>
      </c>
      <c r="N28" s="238">
        <f t="shared" si="19"/>
        <v>6335.7999999999993</v>
      </c>
      <c r="O28" s="238">
        <v>6197</v>
      </c>
      <c r="P28" s="238">
        <f t="shared" si="19"/>
        <v>6794.0399999999991</v>
      </c>
      <c r="Q28" s="237">
        <f t="shared" si="19"/>
        <v>6967.6540000000005</v>
      </c>
      <c r="R28" s="227">
        <f t="shared" si="19"/>
        <v>6785.8566364640901</v>
      </c>
      <c r="S28" s="227">
        <f t="shared" si="19"/>
        <v>7706.16</v>
      </c>
      <c r="T28" s="227">
        <f t="shared" si="19"/>
        <v>7226.5590000000011</v>
      </c>
      <c r="U28" s="227">
        <f t="shared" si="19"/>
        <v>8807.2999999999993</v>
      </c>
      <c r="V28" s="203"/>
      <c r="W28" s="238">
        <f t="shared" ref="W28:AD28" si="20">+SUM(W26:W27)</f>
        <v>6261.8600000000006</v>
      </c>
      <c r="X28" s="238">
        <f t="shared" si="20"/>
        <v>7047.42</v>
      </c>
      <c r="Y28" s="238">
        <f t="shared" si="20"/>
        <v>6331.3154999999997</v>
      </c>
      <c r="Z28" s="231">
        <f t="shared" si="20"/>
        <v>8099.86</v>
      </c>
      <c r="AA28" s="232">
        <f t="shared" si="20"/>
        <v>6287.6269999999995</v>
      </c>
      <c r="AB28" s="232">
        <f t="shared" si="20"/>
        <v>6020.9400000000005</v>
      </c>
      <c r="AC28" s="232">
        <f t="shared" si="20"/>
        <v>6039.51</v>
      </c>
      <c r="AD28" s="232">
        <f t="shared" si="20"/>
        <v>6032.41</v>
      </c>
      <c r="AE28" s="360">
        <f>AD28/Z28-1</f>
        <v>-0.25524515238534984</v>
      </c>
      <c r="AF28" s="359">
        <f>AD28/AC28-1</f>
        <v>-1.1755920596208114E-3</v>
      </c>
      <c r="AG28" s="203"/>
      <c r="AH28" s="238">
        <v>6273.15</v>
      </c>
      <c r="AI28" s="238">
        <v>6025.67</v>
      </c>
      <c r="AJ28" s="238">
        <v>6006.48</v>
      </c>
      <c r="AK28" s="231">
        <v>6025.57</v>
      </c>
      <c r="AL28" s="238">
        <v>5493.85</v>
      </c>
      <c r="AM28" s="238">
        <v>5145.33</v>
      </c>
      <c r="AN28" s="238">
        <v>5235.1499999999996</v>
      </c>
      <c r="AO28" s="231">
        <v>5820.9</v>
      </c>
      <c r="AP28" s="238">
        <v>5537.41</v>
      </c>
      <c r="AQ28" s="357">
        <v>5690.1</v>
      </c>
      <c r="AR28" s="357">
        <v>5633.25</v>
      </c>
      <c r="AS28" s="231">
        <v>5492.39</v>
      </c>
      <c r="AT28" s="238">
        <v>5600.87</v>
      </c>
      <c r="AU28" s="238">
        <v>4946.6499999999996</v>
      </c>
      <c r="AV28" s="238">
        <v>4992.6899999999996</v>
      </c>
      <c r="AW28" s="238">
        <v>7438.26</v>
      </c>
      <c r="AX28" s="238">
        <v>5889.68</v>
      </c>
      <c r="AY28" s="238">
        <v>6574.1</v>
      </c>
      <c r="AZ28" s="238">
        <v>7365.01</v>
      </c>
      <c r="BA28" s="238">
        <v>7961.82</v>
      </c>
      <c r="BB28" s="238">
        <v>6555.09</v>
      </c>
      <c r="BC28" s="238">
        <v>6460.27</v>
      </c>
      <c r="BD28" s="238">
        <v>6177.35</v>
      </c>
      <c r="BE28" s="238">
        <v>6868.2</v>
      </c>
      <c r="BF28" s="238">
        <v>7208.89</v>
      </c>
      <c r="BH28" s="230">
        <v>9.9699999999999997E-2</v>
      </c>
      <c r="BI28" s="230">
        <v>4.9599999999999998E-2</v>
      </c>
    </row>
    <row r="29" spans="1:61">
      <c r="A29" s="382" t="s">
        <v>168</v>
      </c>
      <c r="B29" s="369">
        <f t="shared" ref="B29:U29" si="21">B25-B28</f>
        <v>12462.699999999995</v>
      </c>
      <c r="C29" s="369">
        <f t="shared" si="21"/>
        <v>12689.899999999994</v>
      </c>
      <c r="D29" s="369">
        <f t="shared" si="21"/>
        <v>11482.9</v>
      </c>
      <c r="E29" s="369">
        <f t="shared" si="21"/>
        <v>13729.5</v>
      </c>
      <c r="F29" s="369">
        <f t="shared" si="21"/>
        <v>9436.4000000000015</v>
      </c>
      <c r="G29" s="369">
        <f t="shared" si="21"/>
        <v>12599.299999999996</v>
      </c>
      <c r="H29" s="369">
        <f t="shared" si="21"/>
        <v>9066.9999999999964</v>
      </c>
      <c r="I29" s="369">
        <f t="shared" si="21"/>
        <v>8279.8999999999942</v>
      </c>
      <c r="J29" s="369">
        <f t="shared" si="21"/>
        <v>10328.099999999997</v>
      </c>
      <c r="K29" s="369">
        <f t="shared" si="21"/>
        <v>9842.899999999996</v>
      </c>
      <c r="L29" s="369">
        <f t="shared" si="21"/>
        <v>9900.4999999999964</v>
      </c>
      <c r="M29" s="369">
        <f t="shared" si="21"/>
        <v>10314.957999999999</v>
      </c>
      <c r="N29" s="369">
        <f t="shared" si="21"/>
        <v>10879.119999999999</v>
      </c>
      <c r="O29" s="369">
        <f t="shared" si="21"/>
        <v>10732</v>
      </c>
      <c r="P29" s="369">
        <f t="shared" si="21"/>
        <v>9292.720756509998</v>
      </c>
      <c r="Q29" s="369">
        <f t="shared" si="21"/>
        <v>9201.9390000000003</v>
      </c>
      <c r="R29" s="369">
        <f t="shared" si="21"/>
        <v>10062.575363535914</v>
      </c>
      <c r="S29" s="369">
        <f t="shared" si="21"/>
        <v>10102.547708979993</v>
      </c>
      <c r="T29" s="369">
        <f t="shared" si="21"/>
        <v>11593.581590045775</v>
      </c>
      <c r="U29" s="369">
        <f t="shared" si="21"/>
        <v>9248.2278762299065</v>
      </c>
      <c r="V29" s="369"/>
      <c r="W29" s="369">
        <f t="shared" ref="W29:AD29" si="22">W25-W28</f>
        <v>10023.978399999996</v>
      </c>
      <c r="X29" s="369">
        <f t="shared" si="22"/>
        <v>10155.059999999996</v>
      </c>
      <c r="Y29" s="369">
        <f t="shared" si="22"/>
        <v>11764.997399999989</v>
      </c>
      <c r="Z29" s="369">
        <f t="shared" si="22"/>
        <v>9309.7972999999984</v>
      </c>
      <c r="AA29" s="369">
        <f t="shared" si="22"/>
        <v>9753.9889999999941</v>
      </c>
      <c r="AB29" s="369">
        <f t="shared" si="22"/>
        <v>9424.4499999999916</v>
      </c>
      <c r="AC29" s="369">
        <f t="shared" si="22"/>
        <v>9134.5700000000015</v>
      </c>
      <c r="AD29" s="369">
        <f t="shared" si="22"/>
        <v>9241.9500000000007</v>
      </c>
      <c r="AE29" s="370">
        <f>(AD29-Z29)/Z29</f>
        <v>-7.2877311732660001E-3</v>
      </c>
      <c r="AF29" s="370">
        <f>(AD29-AC29)/AC29</f>
        <v>1.1755342616017961E-2</v>
      </c>
      <c r="AG29" s="371"/>
      <c r="AH29" s="239">
        <v>9815.24</v>
      </c>
      <c r="AI29" s="239">
        <v>9462.93</v>
      </c>
      <c r="AJ29" s="239">
        <v>9181.01</v>
      </c>
      <c r="AK29" s="239">
        <v>9251.92</v>
      </c>
      <c r="AL29" s="239">
        <v>9612.6299999999992</v>
      </c>
      <c r="AM29" s="239">
        <v>9676.2900000000009</v>
      </c>
      <c r="AN29" s="239">
        <v>9501.36</v>
      </c>
      <c r="AO29" s="239">
        <v>9394.2099999999991</v>
      </c>
      <c r="AP29" s="239">
        <v>9063.69</v>
      </c>
      <c r="AQ29" s="239">
        <v>9183.7099999999991</v>
      </c>
      <c r="AR29" s="239">
        <v>8905.1299999999992</v>
      </c>
      <c r="AS29" s="239">
        <v>9807.48</v>
      </c>
      <c r="AT29" s="239">
        <v>9409.52</v>
      </c>
      <c r="AU29" s="239">
        <v>10123.25</v>
      </c>
      <c r="AV29" s="239">
        <v>10769.5</v>
      </c>
      <c r="AW29" s="239">
        <v>10205.44</v>
      </c>
      <c r="AX29" s="239">
        <v>12528.51</v>
      </c>
      <c r="AY29" s="239">
        <v>12458.34</v>
      </c>
      <c r="AZ29" s="239">
        <v>12221.26</v>
      </c>
      <c r="BA29" s="239">
        <v>13176.32</v>
      </c>
      <c r="BB29" s="239">
        <v>14787.49</v>
      </c>
      <c r="BC29" s="239">
        <v>15130.29</v>
      </c>
      <c r="BD29" s="239">
        <v>16535.669999999998</v>
      </c>
      <c r="BE29" s="239">
        <v>17282.63</v>
      </c>
      <c r="BF29" s="239">
        <v>18216.61</v>
      </c>
      <c r="BG29" s="233"/>
      <c r="BH29" s="230">
        <v>0.2319</v>
      </c>
      <c r="BI29" s="229">
        <v>5.3999999999999999E-2</v>
      </c>
    </row>
    <row r="30" spans="1:61">
      <c r="A30" s="305" t="s">
        <v>169</v>
      </c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7"/>
      <c r="W30" s="306"/>
      <c r="X30" s="306"/>
      <c r="Y30" s="306"/>
      <c r="Z30" s="306"/>
      <c r="AA30" s="306"/>
      <c r="AB30" s="306"/>
      <c r="AC30" s="306"/>
      <c r="AD30" s="306"/>
      <c r="AE30" s="308"/>
      <c r="AF30" s="309"/>
      <c r="AG30" s="310"/>
      <c r="AH30" s="311">
        <v>-430.49</v>
      </c>
      <c r="AI30" s="311">
        <v>349.87</v>
      </c>
      <c r="AJ30" s="311">
        <v>-180.68</v>
      </c>
      <c r="AK30" s="311">
        <v>262.88</v>
      </c>
      <c r="AL30" s="311">
        <v>-222.92</v>
      </c>
      <c r="AM30" s="311">
        <v>-157.44</v>
      </c>
      <c r="AN30" s="311">
        <v>-428.11</v>
      </c>
      <c r="AO30" s="311">
        <v>162.88</v>
      </c>
      <c r="AP30" s="311">
        <v>-42.45</v>
      </c>
      <c r="AQ30" s="311">
        <v>-334.58</v>
      </c>
      <c r="AR30" s="311">
        <v>-231.15</v>
      </c>
      <c r="AS30" s="311">
        <v>571.54</v>
      </c>
      <c r="AT30" s="311">
        <v>62.45</v>
      </c>
      <c r="AU30" s="311">
        <v>22.17</v>
      </c>
      <c r="AV30" s="311">
        <v>122.83</v>
      </c>
      <c r="AW30" s="311">
        <v>412.12</v>
      </c>
      <c r="AX30" s="311">
        <v>-197.83</v>
      </c>
      <c r="AY30" s="311">
        <v>73.13</v>
      </c>
      <c r="AZ30" s="311">
        <v>364.09</v>
      </c>
      <c r="BA30" s="311">
        <v>-0.1</v>
      </c>
      <c r="BB30" s="311">
        <v>-13.18</v>
      </c>
      <c r="BC30" s="311">
        <v>33.82</v>
      </c>
      <c r="BD30" s="311">
        <v>46.29</v>
      </c>
      <c r="BE30" s="311">
        <v>54.3</v>
      </c>
      <c r="BF30" s="311">
        <v>0.11</v>
      </c>
      <c r="BG30" s="189"/>
      <c r="BH30" s="391" t="s">
        <v>246</v>
      </c>
      <c r="BI30" s="391" t="s">
        <v>246</v>
      </c>
    </row>
    <row r="31" spans="1:61">
      <c r="A31" s="305" t="s">
        <v>170</v>
      </c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7"/>
      <c r="W31" s="306"/>
      <c r="X31" s="306"/>
      <c r="Y31" s="306"/>
      <c r="Z31" s="306"/>
      <c r="AA31" s="306"/>
      <c r="AB31" s="306"/>
      <c r="AC31" s="306"/>
      <c r="AD31" s="306"/>
      <c r="AE31" s="308"/>
      <c r="AF31" s="309"/>
      <c r="AG31" s="310"/>
      <c r="AH31" s="311">
        <v>271.45</v>
      </c>
      <c r="AI31" s="311">
        <v>144.26</v>
      </c>
      <c r="AJ31" s="311">
        <v>178.98</v>
      </c>
      <c r="AK31" s="311">
        <v>135.88</v>
      </c>
      <c r="AL31" s="311">
        <v>117.15</v>
      </c>
      <c r="AM31" s="311">
        <v>553.96</v>
      </c>
      <c r="AN31" s="311">
        <v>119.77</v>
      </c>
      <c r="AO31" s="311">
        <v>195.55</v>
      </c>
      <c r="AP31" s="311">
        <v>153.16</v>
      </c>
      <c r="AQ31" s="311">
        <v>246.79</v>
      </c>
      <c r="AR31" s="311">
        <v>62.43</v>
      </c>
      <c r="AS31" s="311">
        <v>26.47</v>
      </c>
      <c r="AT31" s="311">
        <v>132.79</v>
      </c>
      <c r="AU31" s="311">
        <v>92.17</v>
      </c>
      <c r="AV31" s="311">
        <v>508.08</v>
      </c>
      <c r="AW31" s="311">
        <v>282.48</v>
      </c>
      <c r="AX31" s="311">
        <v>413.78</v>
      </c>
      <c r="AY31" s="311">
        <v>423.99</v>
      </c>
      <c r="AZ31" s="311">
        <v>361.5</v>
      </c>
      <c r="BA31" s="311">
        <v>430.94</v>
      </c>
      <c r="BB31" s="311">
        <v>471.17</v>
      </c>
      <c r="BC31" s="311">
        <v>455.49</v>
      </c>
      <c r="BD31" s="311">
        <v>515.11</v>
      </c>
      <c r="BE31" s="311">
        <v>216.63</v>
      </c>
      <c r="BF31" s="311">
        <v>453.67</v>
      </c>
      <c r="BG31" s="189"/>
      <c r="BH31" s="354">
        <v>-3.7100000000000001E-2</v>
      </c>
      <c r="BI31" s="353">
        <v>1.0942000000000001</v>
      </c>
    </row>
    <row r="32" spans="1:61">
      <c r="A32" s="305" t="s">
        <v>171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7"/>
      <c r="W32" s="306"/>
      <c r="X32" s="306"/>
      <c r="Y32" s="306"/>
      <c r="Z32" s="306"/>
      <c r="AA32" s="306"/>
      <c r="AB32" s="306"/>
      <c r="AC32" s="306"/>
      <c r="AD32" s="306"/>
      <c r="AE32" s="308"/>
      <c r="AF32" s="309"/>
      <c r="AG32" s="310"/>
      <c r="AH32" s="311">
        <v>1564.34</v>
      </c>
      <c r="AI32" s="311">
        <v>1545.8</v>
      </c>
      <c r="AJ32" s="311">
        <v>1449.23</v>
      </c>
      <c r="AK32" s="311">
        <v>1358</v>
      </c>
      <c r="AL32" s="311">
        <v>1385.71</v>
      </c>
      <c r="AM32" s="311">
        <v>1460.44</v>
      </c>
      <c r="AN32" s="311">
        <v>1413.8</v>
      </c>
      <c r="AO32" s="311">
        <v>1366.12</v>
      </c>
      <c r="AP32" s="311">
        <v>1319.81</v>
      </c>
      <c r="AQ32" s="311">
        <v>1322.71</v>
      </c>
      <c r="AR32" s="311">
        <v>1293.79</v>
      </c>
      <c r="AS32" s="311">
        <v>1294.1300000000001</v>
      </c>
      <c r="AT32" s="311">
        <v>1250.33</v>
      </c>
      <c r="AU32" s="311">
        <v>1333.02</v>
      </c>
      <c r="AV32" s="311">
        <v>1365.81</v>
      </c>
      <c r="AW32" s="311">
        <v>2195.7600000000002</v>
      </c>
      <c r="AX32" s="311">
        <v>2300.27</v>
      </c>
      <c r="AY32" s="311">
        <v>2390.7399999999998</v>
      </c>
      <c r="AZ32" s="311">
        <v>2292.9</v>
      </c>
      <c r="BA32" s="311">
        <v>2201.0300000000002</v>
      </c>
      <c r="BB32" s="311">
        <v>2080.6</v>
      </c>
      <c r="BC32" s="311">
        <v>2005.05</v>
      </c>
      <c r="BD32" s="311">
        <v>1972.23</v>
      </c>
      <c r="BE32" s="311">
        <v>1914.98</v>
      </c>
      <c r="BF32" s="311">
        <v>1871.9</v>
      </c>
      <c r="BG32" s="189"/>
      <c r="BH32" s="353">
        <v>-0.1003</v>
      </c>
      <c r="BI32" s="354">
        <v>-2.2499999999999999E-2</v>
      </c>
    </row>
    <row r="33" spans="1:64">
      <c r="A33" s="305" t="s">
        <v>172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7"/>
      <c r="W33" s="306"/>
      <c r="X33" s="306"/>
      <c r="Y33" s="306"/>
      <c r="Z33" s="306"/>
      <c r="AA33" s="306"/>
      <c r="AB33" s="306"/>
      <c r="AC33" s="306"/>
      <c r="AD33" s="306"/>
      <c r="AE33" s="308"/>
      <c r="AF33" s="309"/>
      <c r="AG33" s="310"/>
      <c r="AH33" s="311">
        <v>1334.88</v>
      </c>
      <c r="AI33" s="311">
        <v>1410.71</v>
      </c>
      <c r="AJ33" s="311">
        <v>1215.32</v>
      </c>
      <c r="AK33" s="311">
        <v>1127.67</v>
      </c>
      <c r="AL33" s="311">
        <v>1476.64</v>
      </c>
      <c r="AM33" s="311">
        <v>1571.09</v>
      </c>
      <c r="AN33" s="311">
        <v>1399.37</v>
      </c>
      <c r="AO33" s="311">
        <v>1522.43</v>
      </c>
      <c r="AP33" s="311">
        <v>1543.04</v>
      </c>
      <c r="AQ33" s="311">
        <v>1467.5</v>
      </c>
      <c r="AR33" s="311">
        <v>1409.95</v>
      </c>
      <c r="AS33" s="311">
        <v>1747.36</v>
      </c>
      <c r="AT33" s="311">
        <v>1596.79</v>
      </c>
      <c r="AU33" s="311">
        <v>1723.06</v>
      </c>
      <c r="AV33" s="311">
        <v>1887.18</v>
      </c>
      <c r="AW33" s="311">
        <v>1701.95</v>
      </c>
      <c r="AX33" s="311">
        <v>1992.73</v>
      </c>
      <c r="AY33" s="311">
        <v>1986.96</v>
      </c>
      <c r="AZ33" s="311">
        <v>1865.19</v>
      </c>
      <c r="BA33" s="311">
        <v>2146.91</v>
      </c>
      <c r="BB33" s="311">
        <v>2580.87</v>
      </c>
      <c r="BC33" s="311">
        <v>2633.3</v>
      </c>
      <c r="BD33" s="311">
        <v>3086.08</v>
      </c>
      <c r="BE33" s="311">
        <v>1352.11</v>
      </c>
      <c r="BF33" s="311">
        <v>3302.55</v>
      </c>
      <c r="BG33" s="189"/>
      <c r="BH33" s="353">
        <v>0.27960000000000002</v>
      </c>
      <c r="BI33" s="353">
        <v>1.4424999999999999</v>
      </c>
    </row>
    <row r="34" spans="1:64">
      <c r="A34" s="312" t="s">
        <v>173</v>
      </c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4"/>
      <c r="W34" s="313"/>
      <c r="X34" s="313"/>
      <c r="Y34" s="313"/>
      <c r="Z34" s="313"/>
      <c r="AA34" s="313"/>
      <c r="AB34" s="313"/>
      <c r="AC34" s="313"/>
      <c r="AD34" s="313"/>
      <c r="AE34" s="315"/>
      <c r="AF34" s="316"/>
      <c r="AG34" s="317"/>
      <c r="AH34" s="318">
        <v>-0.77</v>
      </c>
      <c r="AI34" s="318">
        <v>0.56999999999999995</v>
      </c>
      <c r="AJ34" s="318">
        <v>-2.08</v>
      </c>
      <c r="AK34" s="318">
        <v>-0.62</v>
      </c>
      <c r="AL34" s="318">
        <v>-0.63</v>
      </c>
      <c r="AM34" s="318">
        <v>-0.44</v>
      </c>
      <c r="AN34" s="318">
        <v>-0.55000000000000004</v>
      </c>
      <c r="AO34" s="318">
        <v>-0.69</v>
      </c>
      <c r="AP34" s="318">
        <v>-0.7</v>
      </c>
      <c r="AQ34" s="318">
        <v>-0.56000000000000005</v>
      </c>
      <c r="AR34" s="318">
        <v>-0.66</v>
      </c>
      <c r="AS34" s="318">
        <v>-0.7</v>
      </c>
      <c r="AT34" s="318">
        <v>-0.73</v>
      </c>
      <c r="AU34" s="318">
        <v>-1.29</v>
      </c>
      <c r="AV34" s="318">
        <v>-1</v>
      </c>
      <c r="AW34" s="318">
        <v>0.19</v>
      </c>
      <c r="AX34" s="318">
        <v>-0.41</v>
      </c>
      <c r="AY34" s="318">
        <v>-0.47</v>
      </c>
      <c r="AZ34" s="318">
        <v>-0.65</v>
      </c>
      <c r="BA34" s="318">
        <v>-0.32</v>
      </c>
      <c r="BB34" s="318">
        <v>-0.49</v>
      </c>
      <c r="BC34" s="318">
        <v>0.63</v>
      </c>
      <c r="BD34" s="318">
        <v>0.09</v>
      </c>
      <c r="BE34" s="318">
        <v>-4.87</v>
      </c>
      <c r="BF34" s="318">
        <v>-0.43</v>
      </c>
      <c r="BG34" s="189"/>
      <c r="BH34" s="355">
        <v>-0.12239999999999999</v>
      </c>
      <c r="BI34" s="355">
        <v>-0.91169999999999995</v>
      </c>
    </row>
    <row r="35" spans="1:64">
      <c r="A35" s="284" t="s">
        <v>174</v>
      </c>
      <c r="B35" s="30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232"/>
      <c r="W35" s="301"/>
      <c r="X35" s="301"/>
      <c r="Y35" s="301"/>
      <c r="Z35" s="301"/>
      <c r="AA35" s="301"/>
      <c r="AB35" s="301"/>
      <c r="AC35" s="301"/>
      <c r="AD35" s="301"/>
      <c r="AE35" s="302"/>
      <c r="AF35" s="303"/>
      <c r="AG35" s="254"/>
      <c r="AH35" s="285">
        <v>6756.19</v>
      </c>
      <c r="AI35" s="285">
        <v>7001.11</v>
      </c>
      <c r="AJ35" s="285">
        <v>6512.67</v>
      </c>
      <c r="AK35" s="285">
        <v>7164.39</v>
      </c>
      <c r="AL35" s="285">
        <v>6643.89</v>
      </c>
      <c r="AM35" s="285">
        <v>7040.82</v>
      </c>
      <c r="AN35" s="285">
        <v>6374.06</v>
      </c>
      <c r="AO35" s="285">
        <v>6863.4</v>
      </c>
      <c r="AP35" s="285">
        <v>6310.84</v>
      </c>
      <c r="AQ35" s="285">
        <v>6305.15</v>
      </c>
      <c r="AR35" s="285">
        <v>6032</v>
      </c>
      <c r="AS35" s="285">
        <v>7363.29</v>
      </c>
      <c r="AT35" s="285">
        <v>6756.93</v>
      </c>
      <c r="AU35" s="285">
        <v>7180.22</v>
      </c>
      <c r="AV35" s="285">
        <v>8146.42</v>
      </c>
      <c r="AW35" s="285">
        <v>7002.53</v>
      </c>
      <c r="AX35" s="285">
        <v>8451.0499999999993</v>
      </c>
      <c r="AY35" s="285">
        <v>8577.2900000000009</v>
      </c>
      <c r="AZ35" s="285">
        <v>8788.2199999999993</v>
      </c>
      <c r="BA35" s="285">
        <v>9258.82</v>
      </c>
      <c r="BB35" s="285">
        <v>10583.53</v>
      </c>
      <c r="BC35" s="285">
        <v>10981.89</v>
      </c>
      <c r="BD35" s="285">
        <v>12038.86</v>
      </c>
      <c r="BE35" s="285">
        <v>14281.6</v>
      </c>
      <c r="BF35" s="285">
        <v>13495.5</v>
      </c>
      <c r="BG35" s="233"/>
      <c r="BH35" s="230">
        <v>0.27510000000000001</v>
      </c>
      <c r="BI35" s="229">
        <v>-5.5E-2</v>
      </c>
    </row>
    <row r="36" spans="1:64">
      <c r="A36" s="195"/>
      <c r="B36" s="37"/>
      <c r="C36" s="37"/>
      <c r="D36" s="37"/>
      <c r="E36" s="37"/>
      <c r="F36" s="37"/>
      <c r="G36" s="37"/>
      <c r="H36" s="37"/>
      <c r="I36" s="18"/>
      <c r="J36" s="18"/>
      <c r="K36" s="18"/>
      <c r="L36" s="18"/>
      <c r="M36" s="18"/>
      <c r="N36" s="18"/>
      <c r="O36" s="18"/>
      <c r="P36" s="18"/>
      <c r="Q36" s="18"/>
      <c r="R36" s="193"/>
      <c r="S36" s="193"/>
      <c r="T36" s="193"/>
      <c r="U36" s="193"/>
      <c r="V36" s="144"/>
      <c r="W36" s="18"/>
      <c r="X36" s="18"/>
      <c r="Y36" s="18"/>
      <c r="Z36" s="193"/>
      <c r="AA36" s="193"/>
      <c r="AB36" s="193"/>
      <c r="AC36" s="193"/>
      <c r="AD36" s="193"/>
      <c r="AE36" s="191"/>
      <c r="AF36" s="22"/>
      <c r="AG36" s="144"/>
      <c r="AH36" s="18"/>
      <c r="AI36" s="18"/>
      <c r="AJ36" s="18"/>
      <c r="AK36" s="193"/>
      <c r="AL36" s="18"/>
      <c r="AM36" s="18"/>
      <c r="AN36" s="18"/>
      <c r="AO36" s="211"/>
      <c r="AP36" s="18"/>
      <c r="AQ36" s="214"/>
      <c r="AR36" s="214"/>
      <c r="AS36" s="211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9"/>
      <c r="BH36" s="249"/>
      <c r="BI36" s="249"/>
    </row>
    <row r="37" spans="1:64" ht="48">
      <c r="A37" s="431" t="s">
        <v>261</v>
      </c>
      <c r="B37" s="37"/>
      <c r="C37" s="37"/>
      <c r="D37" s="37"/>
      <c r="E37" s="37"/>
      <c r="F37" s="37"/>
      <c r="G37" s="37"/>
      <c r="H37" s="37"/>
      <c r="I37" s="18"/>
      <c r="J37" s="18"/>
      <c r="K37" s="18"/>
      <c r="L37" s="18"/>
      <c r="M37" s="18"/>
      <c r="N37" s="18"/>
      <c r="O37" s="18"/>
      <c r="P37" s="18"/>
      <c r="Q37" s="18"/>
      <c r="R37" s="193"/>
      <c r="S37" s="193"/>
      <c r="T37" s="193"/>
      <c r="U37" s="193"/>
      <c r="V37" s="144"/>
      <c r="W37" s="18"/>
      <c r="X37" s="18"/>
      <c r="Y37" s="18"/>
      <c r="Z37" s="193"/>
      <c r="AA37" s="193"/>
      <c r="AB37" s="193"/>
      <c r="AC37" s="193"/>
      <c r="AD37" s="193"/>
      <c r="AE37" s="191"/>
      <c r="AF37" s="22"/>
      <c r="AG37" s="144"/>
      <c r="AH37" s="18"/>
      <c r="AI37" s="18"/>
      <c r="AJ37" s="18"/>
      <c r="AK37" s="193"/>
      <c r="AL37" s="18"/>
      <c r="AM37" s="18"/>
      <c r="AN37" s="18"/>
      <c r="AO37" s="211"/>
      <c r="AP37" s="18"/>
      <c r="AQ37" s="214"/>
      <c r="AR37" s="214"/>
      <c r="AS37" s="211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9"/>
      <c r="BH37" s="249"/>
      <c r="BI37" s="249"/>
    </row>
    <row r="38" spans="1:64">
      <c r="A38" s="405"/>
      <c r="B38" s="37"/>
      <c r="C38" s="37"/>
      <c r="D38" s="37"/>
      <c r="E38" s="37"/>
      <c r="F38" s="37"/>
      <c r="G38" s="37"/>
      <c r="H38" s="37"/>
      <c r="I38" s="18"/>
      <c r="J38" s="18"/>
      <c r="K38" s="18"/>
      <c r="L38" s="18"/>
      <c r="M38" s="18"/>
      <c r="N38" s="18"/>
      <c r="O38" s="18"/>
      <c r="P38" s="18"/>
      <c r="Q38" s="18"/>
      <c r="R38" s="193"/>
      <c r="S38" s="193"/>
      <c r="T38" s="193"/>
      <c r="U38" s="193"/>
      <c r="V38" s="144"/>
      <c r="W38" s="18"/>
      <c r="X38" s="18"/>
      <c r="Y38" s="18"/>
      <c r="Z38" s="193"/>
      <c r="AA38" s="193"/>
      <c r="AB38" s="193"/>
      <c r="AC38" s="193"/>
      <c r="AD38" s="193"/>
      <c r="AE38" s="191"/>
      <c r="AF38" s="22"/>
      <c r="AG38" s="144"/>
      <c r="AH38" s="18"/>
      <c r="AI38" s="18"/>
      <c r="AJ38" s="18"/>
      <c r="AK38" s="193"/>
      <c r="AL38" s="18"/>
      <c r="AM38" s="18"/>
      <c r="AN38" s="18"/>
      <c r="AO38" s="193"/>
      <c r="AP38" s="18"/>
      <c r="AQ38" s="18"/>
      <c r="AR38" s="18"/>
      <c r="AS38" s="193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9"/>
      <c r="BH38" s="249"/>
      <c r="BI38" s="249"/>
    </row>
    <row r="39" spans="1:64">
      <c r="A39" s="10" t="s">
        <v>175</v>
      </c>
      <c r="B39" s="13"/>
      <c r="C39" s="13"/>
      <c r="D39" s="13"/>
      <c r="E39" s="11"/>
      <c r="F39" s="13"/>
      <c r="G39" s="13"/>
      <c r="H39" s="13"/>
      <c r="I39" s="11"/>
      <c r="J39" s="13"/>
      <c r="K39" s="13"/>
      <c r="L39" s="13"/>
      <c r="M39" s="11"/>
      <c r="N39" s="13"/>
      <c r="O39" s="13"/>
      <c r="P39" s="13"/>
      <c r="Q39" s="11"/>
      <c r="R39" s="263"/>
      <c r="S39" s="13"/>
      <c r="T39" s="13"/>
      <c r="U39" s="13"/>
      <c r="V39" s="267"/>
      <c r="W39" s="267"/>
      <c r="X39" s="267"/>
      <c r="Y39" s="267"/>
      <c r="Z39" s="268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8"/>
      <c r="AL39" s="267"/>
      <c r="AM39" s="267"/>
      <c r="AN39" s="267"/>
      <c r="AO39" s="268"/>
      <c r="AP39" s="425" t="s">
        <v>176</v>
      </c>
      <c r="AQ39" s="426"/>
      <c r="AR39" s="426"/>
      <c r="AS39" s="426"/>
      <c r="AT39" s="426"/>
      <c r="AU39" s="426"/>
      <c r="AV39" s="426"/>
      <c r="AW39" s="426"/>
      <c r="AX39" s="426"/>
      <c r="AY39" s="426"/>
      <c r="AZ39" s="426"/>
      <c r="BA39" s="426"/>
      <c r="BB39" s="426"/>
      <c r="BC39" s="324"/>
      <c r="BD39" s="324"/>
      <c r="BE39" s="324"/>
      <c r="BF39" s="324"/>
      <c r="BG39" s="189"/>
      <c r="BH39" s="304"/>
      <c r="BI39" s="304"/>
    </row>
    <row r="40" spans="1:64">
      <c r="A40" s="178" t="s">
        <v>168</v>
      </c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W40" s="373"/>
      <c r="X40" s="373"/>
      <c r="Y40" s="373"/>
      <c r="Z40" s="373"/>
      <c r="AA40" s="373"/>
      <c r="AB40" s="373"/>
      <c r="AC40" s="373"/>
      <c r="AD40" s="373"/>
      <c r="AE40" s="373"/>
      <c r="AF40" s="373"/>
      <c r="AH40" s="145">
        <v>9815.223604059991</v>
      </c>
      <c r="AI40" s="145">
        <v>9462.923548239989</v>
      </c>
      <c r="AJ40" s="145">
        <v>9181.0036802208451</v>
      </c>
      <c r="AK40" s="145">
        <v>9251.9142690928329</v>
      </c>
      <c r="AL40" s="145">
        <v>9612.6317276699956</v>
      </c>
      <c r="AM40" s="145">
        <v>9676.2715006899944</v>
      </c>
      <c r="AN40" s="145">
        <v>9496.1304232200164</v>
      </c>
      <c r="AO40" s="145">
        <v>9394.2137424584107</v>
      </c>
      <c r="AP40" s="145">
        <v>9063.6882913000081</v>
      </c>
      <c r="AQ40" s="145">
        <v>9183.7079448933073</v>
      </c>
      <c r="AR40" s="145">
        <v>8905.1308495399917</v>
      </c>
      <c r="AS40" s="145">
        <v>9807.4788647700079</v>
      </c>
      <c r="AT40" s="145">
        <v>9409.5261791900048</v>
      </c>
      <c r="AU40" s="145">
        <v>10123.251190470004</v>
      </c>
      <c r="AV40" s="145">
        <v>10769.500627680005</v>
      </c>
      <c r="AW40" s="145">
        <v>10205.442281439187</v>
      </c>
      <c r="AX40" s="145">
        <v>12528.514876480011</v>
      </c>
      <c r="AY40" s="145">
        <v>12458.339643550004</v>
      </c>
      <c r="AZ40" s="145">
        <v>12221.365287250006</v>
      </c>
      <c r="BA40" s="145">
        <v>13176.232007540011</v>
      </c>
      <c r="BB40" s="145">
        <v>14787.488286209998</v>
      </c>
      <c r="BC40" s="145">
        <v>15130.29</v>
      </c>
      <c r="BD40" s="145">
        <v>16535.669999999998</v>
      </c>
      <c r="BE40" s="145">
        <v>17282.63</v>
      </c>
      <c r="BF40" s="145">
        <v>18216.61</v>
      </c>
      <c r="BG40" s="145"/>
      <c r="BH40" s="191">
        <v>0.2319</v>
      </c>
      <c r="BI40" s="22">
        <v>5.3999999999999999E-2</v>
      </c>
    </row>
    <row r="41" spans="1:64">
      <c r="A41" s="178" t="s">
        <v>177</v>
      </c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W41" s="373"/>
      <c r="X41" s="373"/>
      <c r="Y41" s="373"/>
      <c r="Z41" s="373"/>
      <c r="AA41" s="373"/>
      <c r="AB41" s="373"/>
      <c r="AC41" s="373"/>
      <c r="AD41" s="373"/>
      <c r="AE41" s="373"/>
      <c r="AF41" s="373"/>
      <c r="AH41" s="145">
        <v>271.45477068735198</v>
      </c>
      <c r="AI41" s="145">
        <v>144.26288906470299</v>
      </c>
      <c r="AJ41" s="145">
        <v>178.98452611926186</v>
      </c>
      <c r="AK41" s="145">
        <v>135.8846656892384</v>
      </c>
      <c r="AL41" s="145">
        <v>117.15316983223948</v>
      </c>
      <c r="AM41" s="145">
        <v>553.95768792072465</v>
      </c>
      <c r="AN41" s="145">
        <v>119.76537432616749</v>
      </c>
      <c r="AO41" s="145">
        <v>195.54992202857994</v>
      </c>
      <c r="AP41" s="145">
        <v>153.15504598903982</v>
      </c>
      <c r="AQ41" s="145">
        <v>246.78550920659592</v>
      </c>
      <c r="AR41" s="145">
        <v>62.426453699999996</v>
      </c>
      <c r="AS41" s="145">
        <v>26.468318125593306</v>
      </c>
      <c r="AT41" s="145">
        <v>132.79395250194648</v>
      </c>
      <c r="AU41" s="145">
        <v>92.168166715983602</v>
      </c>
      <c r="AV41" s="145">
        <v>508.07659241102129</v>
      </c>
      <c r="AW41" s="145">
        <v>282.48158220155563</v>
      </c>
      <c r="AX41" s="145">
        <v>413.78493463125801</v>
      </c>
      <c r="AY41" s="145">
        <v>423.99254447215503</v>
      </c>
      <c r="AZ41" s="145">
        <v>361.501350985192</v>
      </c>
      <c r="BA41" s="145">
        <v>430.93874122885495</v>
      </c>
      <c r="BB41" s="145">
        <v>471.172122571572</v>
      </c>
      <c r="BC41" s="145">
        <v>455.49</v>
      </c>
      <c r="BD41" s="145">
        <v>515.11</v>
      </c>
      <c r="BE41" s="145">
        <v>216.63</v>
      </c>
      <c r="BF41" s="145">
        <v>453.67</v>
      </c>
      <c r="BH41" s="22">
        <v>-3.7100000000000001E-2</v>
      </c>
      <c r="BI41" s="191">
        <v>1.0942000000000001</v>
      </c>
    </row>
    <row r="42" spans="1:64">
      <c r="A42" s="178" t="s">
        <v>158</v>
      </c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W42" s="373"/>
      <c r="X42" s="373"/>
      <c r="Y42" s="373"/>
      <c r="Z42" s="373"/>
      <c r="AA42" s="373"/>
      <c r="AB42" s="373"/>
      <c r="AC42" s="373"/>
      <c r="AD42" s="373"/>
      <c r="AE42" s="373"/>
      <c r="AF42" s="373"/>
      <c r="AH42" s="145">
        <v>13006.3957348</v>
      </c>
      <c r="AI42" s="145">
        <v>12862.183797919999</v>
      </c>
      <c r="AJ42" s="145">
        <v>12948.181640020002</v>
      </c>
      <c r="AK42" s="145">
        <v>13024.846018300001</v>
      </c>
      <c r="AL42" s="145">
        <v>13009.077042710001</v>
      </c>
      <c r="AM42" s="145">
        <v>13376.833811539997</v>
      </c>
      <c r="AN42" s="145">
        <v>13442.081278470001</v>
      </c>
      <c r="AO42" s="145">
        <v>13546.022340090001</v>
      </c>
      <c r="AP42" s="145">
        <v>13369.484744239999</v>
      </c>
      <c r="AQ42" s="145">
        <v>13192.386672630002</v>
      </c>
      <c r="AR42" s="145">
        <v>13221.986437989999</v>
      </c>
      <c r="AS42" s="145">
        <v>13118.134859009995</v>
      </c>
      <c r="AT42" s="145">
        <v>13154.735318420002</v>
      </c>
      <c r="AU42" s="145">
        <v>13136.287690259998</v>
      </c>
      <c r="AV42" s="145">
        <v>12844.332980300002</v>
      </c>
      <c r="AW42" s="145">
        <v>13745.106012870001</v>
      </c>
      <c r="AX42" s="145">
        <v>15240.057891059998</v>
      </c>
      <c r="AY42" s="145">
        <v>15162.27234883</v>
      </c>
      <c r="AZ42" s="145">
        <v>15474.736408299999</v>
      </c>
      <c r="BA42" s="145">
        <v>15351.034286970002</v>
      </c>
      <c r="BB42" s="145">
        <v>14805.468737679999</v>
      </c>
      <c r="BC42" s="145">
        <v>14647.57</v>
      </c>
      <c r="BD42" s="145">
        <v>14308.57</v>
      </c>
      <c r="BE42" s="145">
        <v>13992.37</v>
      </c>
      <c r="BF42" s="145">
        <v>13523.56</v>
      </c>
      <c r="BH42" s="22">
        <v>-8.6599999999999996E-2</v>
      </c>
      <c r="BI42" s="22">
        <v>-3.3500000000000002E-2</v>
      </c>
    </row>
    <row r="43" spans="1:64">
      <c r="A43" s="178" t="s">
        <v>169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H43" s="145">
        <v>-430.49359463999997</v>
      </c>
      <c r="AI43" s="145">
        <v>349.87228908999998</v>
      </c>
      <c r="AJ43" s="145">
        <v>-180.68377879000002</v>
      </c>
      <c r="AK43" s="145">
        <v>262.88481213999995</v>
      </c>
      <c r="AL43" s="145">
        <v>-222.91833849999995</v>
      </c>
      <c r="AM43" s="145">
        <v>-157.44466314999994</v>
      </c>
      <c r="AN43" s="145">
        <v>-428.11120922000003</v>
      </c>
      <c r="AO43" s="145">
        <v>162.88429257000007</v>
      </c>
      <c r="AP43" s="145">
        <v>-42.448897930000015</v>
      </c>
      <c r="AQ43" s="145">
        <v>-334.58200201</v>
      </c>
      <c r="AR43" s="145">
        <v>-231.15341448000004</v>
      </c>
      <c r="AS43" s="145">
        <v>571.53542442999981</v>
      </c>
      <c r="AT43" s="145">
        <v>62.451779770000002</v>
      </c>
      <c r="AU43" s="145">
        <v>22.173932199999967</v>
      </c>
      <c r="AV43" s="145">
        <v>122.82817564000003</v>
      </c>
      <c r="AW43" s="145">
        <v>412.12167963999997</v>
      </c>
      <c r="AX43" s="145">
        <v>-197.83252468000001</v>
      </c>
      <c r="AY43" s="145">
        <v>73.127799490000001</v>
      </c>
      <c r="AZ43" s="145">
        <v>364.08869468</v>
      </c>
      <c r="BA43" s="145">
        <v>-9.708299999999781E-2</v>
      </c>
      <c r="BB43" s="145">
        <v>-13.180173119999999</v>
      </c>
      <c r="BC43" s="145">
        <v>33.82</v>
      </c>
      <c r="BD43" s="145">
        <v>46.29</v>
      </c>
      <c r="BE43" s="145">
        <v>54.3</v>
      </c>
      <c r="BF43" s="145">
        <v>0.11</v>
      </c>
      <c r="BH43" s="391" t="s">
        <v>246</v>
      </c>
      <c r="BI43" s="391" t="s">
        <v>246</v>
      </c>
    </row>
    <row r="44" spans="1:64">
      <c r="A44" s="220" t="s">
        <v>32</v>
      </c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2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20"/>
      <c r="AH44" s="261">
        <v>23093.07</v>
      </c>
      <c r="AI44" s="261">
        <v>22469.37</v>
      </c>
      <c r="AJ44" s="261">
        <v>22308.17</v>
      </c>
      <c r="AK44" s="261">
        <v>22412.639999999999</v>
      </c>
      <c r="AL44" s="261">
        <v>22738.86</v>
      </c>
      <c r="AM44" s="261">
        <v>23607.06</v>
      </c>
      <c r="AN44" s="261">
        <v>23057.98</v>
      </c>
      <c r="AO44" s="261">
        <v>23135.79</v>
      </c>
      <c r="AP44" s="262">
        <v>22543.88</v>
      </c>
      <c r="AQ44" s="262">
        <v>22288.3</v>
      </c>
      <c r="AR44" s="262">
        <v>21958.39</v>
      </c>
      <c r="AS44" s="262">
        <v>23523.62</v>
      </c>
      <c r="AT44" s="262">
        <v>22759.51</v>
      </c>
      <c r="AU44" s="262">
        <v>23373.88</v>
      </c>
      <c r="AV44" s="262">
        <v>24244.74</v>
      </c>
      <c r="AW44" s="262">
        <v>24645.15</v>
      </c>
      <c r="AX44" s="262">
        <v>27984.53</v>
      </c>
      <c r="AY44" s="262">
        <v>28117.73</v>
      </c>
      <c r="AZ44" s="262">
        <v>28421.69</v>
      </c>
      <c r="BA44" s="262">
        <v>28958.11</v>
      </c>
      <c r="BB44" s="262">
        <v>30050.95</v>
      </c>
      <c r="BC44" s="262">
        <v>30267.17</v>
      </c>
      <c r="BD44" s="262">
        <v>31405.64</v>
      </c>
      <c r="BE44" s="262">
        <v>31545.94</v>
      </c>
      <c r="BF44" s="262">
        <v>32193.94</v>
      </c>
      <c r="BH44" s="229">
        <v>7.1300000000000002E-2</v>
      </c>
      <c r="BI44" s="229">
        <v>2.0500000000000001E-2</v>
      </c>
    </row>
    <row r="45" spans="1:64">
      <c r="A45" s="286" t="s">
        <v>178</v>
      </c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6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6"/>
      <c r="AH45" s="320">
        <v>0.53900000000000003</v>
      </c>
      <c r="AI45" s="320">
        <v>0.53169999999999995</v>
      </c>
      <c r="AJ45" s="320">
        <v>0.53480000000000005</v>
      </c>
      <c r="AK45" s="320">
        <v>0.4864</v>
      </c>
      <c r="AL45" s="320">
        <v>0.49580000000000002</v>
      </c>
      <c r="AM45" s="320">
        <v>0.55210000000000004</v>
      </c>
      <c r="AN45" s="320">
        <v>0.54410000000000003</v>
      </c>
      <c r="AO45" s="320">
        <v>0.45960000000000001</v>
      </c>
      <c r="AP45" s="319">
        <v>0.49790000000000001</v>
      </c>
      <c r="AQ45" s="319">
        <v>0.49230000000000002</v>
      </c>
      <c r="AR45" s="319">
        <v>0.47489999999999999</v>
      </c>
      <c r="AS45" s="319">
        <v>0.48299999999999998</v>
      </c>
      <c r="AT45" s="319">
        <v>0.48720000000000002</v>
      </c>
      <c r="AU45" s="319">
        <v>0.52200000000000002</v>
      </c>
      <c r="AV45" s="319">
        <v>0.52629999999999999</v>
      </c>
      <c r="AW45" s="319">
        <v>0.48020000000000002</v>
      </c>
      <c r="AX45" s="319">
        <v>0.52510000000000001</v>
      </c>
      <c r="AY45" s="319">
        <v>0.54779999999999995</v>
      </c>
      <c r="AZ45" s="319">
        <v>0.5444</v>
      </c>
      <c r="BA45" s="319">
        <v>0.51039999999999996</v>
      </c>
      <c r="BB45" s="319">
        <v>0.53369999999999995</v>
      </c>
      <c r="BC45" s="319">
        <v>0.54010000000000002</v>
      </c>
      <c r="BD45" s="319">
        <v>0.57769999999999999</v>
      </c>
      <c r="BE45" s="319">
        <v>0.52980000000000005</v>
      </c>
      <c r="BF45" s="319">
        <v>0.55320000000000003</v>
      </c>
      <c r="BH45"/>
      <c r="BI45"/>
      <c r="BL45" s="189"/>
    </row>
    <row r="46" spans="1:64">
      <c r="A46" s="220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2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20"/>
      <c r="AH46" s="322"/>
      <c r="AI46" s="322"/>
      <c r="AJ46" s="322"/>
      <c r="AK46" s="322"/>
      <c r="AL46" s="322"/>
      <c r="AM46" s="322"/>
      <c r="AN46" s="322"/>
      <c r="AO46" s="322"/>
      <c r="AP46" s="322"/>
      <c r="AQ46" s="322"/>
      <c r="AR46" s="322"/>
      <c r="AS46" s="322"/>
      <c r="AT46" s="322"/>
      <c r="AU46" s="322"/>
      <c r="AV46" s="322"/>
      <c r="AW46" s="322"/>
      <c r="AX46" s="322"/>
      <c r="AY46" s="322"/>
      <c r="AZ46" s="322"/>
      <c r="BA46" s="322"/>
      <c r="BB46" s="322"/>
      <c r="BC46" s="322"/>
      <c r="BD46" s="322"/>
      <c r="BE46" s="322"/>
      <c r="BF46" s="322"/>
      <c r="BH46" s="234"/>
      <c r="BI46"/>
    </row>
    <row r="47" spans="1:64">
      <c r="A47" s="220" t="s">
        <v>34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6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6"/>
      <c r="AH47" s="290">
        <v>23046.52</v>
      </c>
      <c r="AI47" s="290">
        <v>22308.84</v>
      </c>
      <c r="AJ47" s="290">
        <v>22380.41</v>
      </c>
      <c r="AK47" s="290">
        <v>22287.37</v>
      </c>
      <c r="AL47" s="290">
        <v>22681.279999999999</v>
      </c>
      <c r="AM47" s="290">
        <v>23414.61</v>
      </c>
      <c r="AN47" s="290">
        <v>23090.11</v>
      </c>
      <c r="AO47" s="290">
        <v>23027.15</v>
      </c>
      <c r="AP47" s="290">
        <v>22414.74</v>
      </c>
      <c r="AQ47" s="290">
        <v>22270.57</v>
      </c>
      <c r="AR47" s="290">
        <v>21857.96</v>
      </c>
      <c r="AS47" s="290">
        <v>23391.46</v>
      </c>
      <c r="AT47" s="290">
        <v>22585.11</v>
      </c>
      <c r="AU47" s="290">
        <v>23285.33</v>
      </c>
      <c r="AV47" s="290">
        <v>24086.54</v>
      </c>
      <c r="AW47" s="290">
        <v>24391.119999999999</v>
      </c>
      <c r="AX47" s="290">
        <v>27487.87</v>
      </c>
      <c r="AY47" s="290">
        <v>27644.95</v>
      </c>
      <c r="AZ47" s="290">
        <v>27962.880000000001</v>
      </c>
      <c r="BA47" s="290">
        <v>28270.26</v>
      </c>
      <c r="BB47" s="290">
        <v>29572.7</v>
      </c>
      <c r="BC47" s="290">
        <v>29821.38</v>
      </c>
      <c r="BD47" s="290">
        <v>30962.22</v>
      </c>
      <c r="BE47" s="290">
        <v>30765.57</v>
      </c>
      <c r="BF47" s="290">
        <v>31468.57</v>
      </c>
      <c r="BH47" s="229">
        <v>6.4100000000000004E-2</v>
      </c>
      <c r="BI47" s="229">
        <v>2.29E-2</v>
      </c>
    </row>
    <row r="48" spans="1:64">
      <c r="A48" s="286" t="s">
        <v>179</v>
      </c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6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6"/>
      <c r="AH48" s="320">
        <v>0.63349999999999995</v>
      </c>
      <c r="AI48" s="320">
        <v>0.62450000000000006</v>
      </c>
      <c r="AJ48" s="320">
        <v>0.62819999999999998</v>
      </c>
      <c r="AK48" s="320">
        <v>0.62619999999999998</v>
      </c>
      <c r="AL48" s="320">
        <v>0.627</v>
      </c>
      <c r="AM48" s="320">
        <v>0.65700000000000003</v>
      </c>
      <c r="AN48" s="320">
        <v>0.63780000000000003</v>
      </c>
      <c r="AO48" s="320">
        <v>0.62619999999999998</v>
      </c>
      <c r="AP48" s="319">
        <v>0.62250000000000005</v>
      </c>
      <c r="AQ48" s="319">
        <v>0.61040000000000005</v>
      </c>
      <c r="AR48" s="319">
        <v>0.60209999999999997</v>
      </c>
      <c r="AS48" s="319">
        <v>0.62860000000000005</v>
      </c>
      <c r="AT48" s="319">
        <v>0.61399999999999999</v>
      </c>
      <c r="AU48" s="319">
        <v>0.624</v>
      </c>
      <c r="AV48" s="319">
        <v>0.64410000000000001</v>
      </c>
      <c r="AW48" s="319">
        <v>0.60340000000000005</v>
      </c>
      <c r="AX48" s="319">
        <v>0.64219999999999999</v>
      </c>
      <c r="AY48" s="319">
        <v>0.63600000000000001</v>
      </c>
      <c r="AZ48" s="319">
        <v>0.63590000000000002</v>
      </c>
      <c r="BA48" s="319">
        <v>0.62480000000000002</v>
      </c>
      <c r="BB48" s="319">
        <v>0.65559999999999996</v>
      </c>
      <c r="BC48" s="319">
        <v>0.64600000000000002</v>
      </c>
      <c r="BD48" s="319">
        <v>0.68179999999999996</v>
      </c>
      <c r="BE48" s="319">
        <v>0.67059999999999997</v>
      </c>
      <c r="BF48" s="319">
        <v>0.68540000000000001</v>
      </c>
      <c r="BH48" s="230"/>
      <c r="BI48" s="229"/>
    </row>
    <row r="49" spans="1:66">
      <c r="A49" s="286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6"/>
      <c r="W49" s="288"/>
      <c r="X49" s="288"/>
      <c r="Y49" s="288"/>
      <c r="Z49" s="288"/>
      <c r="AA49" s="288"/>
      <c r="AB49" s="288"/>
      <c r="AC49" s="288"/>
      <c r="AD49" s="288"/>
      <c r="AE49" s="288"/>
      <c r="AF49" s="288"/>
      <c r="AG49" s="286"/>
      <c r="AH49" s="289"/>
      <c r="AI49" s="289"/>
      <c r="AJ49" s="289"/>
      <c r="AK49" s="289"/>
      <c r="AL49" s="289"/>
      <c r="AM49" s="289"/>
      <c r="AN49" s="289"/>
      <c r="AO49" s="289"/>
      <c r="AP49" s="290"/>
      <c r="AQ49" s="290"/>
      <c r="AR49" s="290"/>
      <c r="AS49" s="290"/>
      <c r="AT49" s="290"/>
      <c r="AU49" s="290"/>
      <c r="AV49" s="290"/>
      <c r="AW49" s="290"/>
      <c r="AX49" s="290"/>
      <c r="AY49" s="290"/>
      <c r="AZ49" s="290"/>
      <c r="BA49" s="290"/>
      <c r="BB49" s="290"/>
      <c r="BC49" s="290"/>
      <c r="BD49" s="290"/>
      <c r="BE49" s="290"/>
      <c r="BF49" s="290"/>
      <c r="BH49"/>
      <c r="BI49"/>
    </row>
    <row r="50" spans="1:66">
      <c r="A50" s="286" t="s">
        <v>30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6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6"/>
      <c r="AH50" s="289">
        <v>10086.68</v>
      </c>
      <c r="AI50" s="289">
        <v>9607.19</v>
      </c>
      <c r="AJ50" s="289">
        <v>9359.99</v>
      </c>
      <c r="AK50" s="289">
        <v>9387.7999999999993</v>
      </c>
      <c r="AL50" s="289">
        <v>9729.7800000000007</v>
      </c>
      <c r="AM50" s="289">
        <v>10230.23</v>
      </c>
      <c r="AN50" s="289">
        <v>9615.9</v>
      </c>
      <c r="AO50" s="289">
        <v>9589.76</v>
      </c>
      <c r="AP50" s="290">
        <v>9174.39</v>
      </c>
      <c r="AQ50" s="290">
        <v>9095.91</v>
      </c>
      <c r="AR50" s="290">
        <v>8736.4</v>
      </c>
      <c r="AS50" s="290">
        <v>10405.48</v>
      </c>
      <c r="AT50" s="290">
        <v>9604.77</v>
      </c>
      <c r="AU50" s="290">
        <v>10237.59</v>
      </c>
      <c r="AV50" s="290">
        <v>11400.41</v>
      </c>
      <c r="AW50" s="290">
        <v>10900.05</v>
      </c>
      <c r="AX50" s="290">
        <v>12744.47</v>
      </c>
      <c r="AY50" s="290">
        <v>12955.46</v>
      </c>
      <c r="AZ50" s="290">
        <v>12946.96</v>
      </c>
      <c r="BA50" s="290">
        <v>13607.16</v>
      </c>
      <c r="BB50" s="290">
        <v>15245.48</v>
      </c>
      <c r="BC50" s="290">
        <v>15619.6</v>
      </c>
      <c r="BD50" s="290">
        <v>17097.07</v>
      </c>
      <c r="BE50" s="290">
        <v>17553.59</v>
      </c>
      <c r="BF50" s="290">
        <v>18670.39</v>
      </c>
      <c r="BH50" s="230">
        <v>0.22470000000000001</v>
      </c>
      <c r="BI50" s="229">
        <v>6.3600000000000004E-2</v>
      </c>
    </row>
    <row r="51" spans="1:66">
      <c r="A51" s="220" t="s">
        <v>180</v>
      </c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2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20"/>
      <c r="AH51" s="321">
        <v>0.2354</v>
      </c>
      <c r="AI51" s="321">
        <v>0.22739999999999999</v>
      </c>
      <c r="AJ51" s="321">
        <v>0.22439999999999999</v>
      </c>
      <c r="AK51" s="321">
        <v>0.20380000000000001</v>
      </c>
      <c r="AL51" s="321">
        <v>0.2122</v>
      </c>
      <c r="AM51" s="321">
        <v>0.23930000000000001</v>
      </c>
      <c r="AN51" s="321">
        <v>0.22689999999999999</v>
      </c>
      <c r="AO51" s="321">
        <v>0.1905</v>
      </c>
      <c r="AP51" s="322">
        <v>0.2026</v>
      </c>
      <c r="AQ51" s="322">
        <v>0.2009</v>
      </c>
      <c r="AR51" s="322">
        <v>0.189</v>
      </c>
      <c r="AS51" s="322">
        <v>0.2137</v>
      </c>
      <c r="AT51" s="322">
        <v>0.2056</v>
      </c>
      <c r="AU51" s="322">
        <v>0.2286</v>
      </c>
      <c r="AV51" s="322">
        <v>0.2475</v>
      </c>
      <c r="AW51" s="322">
        <v>0.21240000000000001</v>
      </c>
      <c r="AX51" s="322">
        <v>0.23910000000000001</v>
      </c>
      <c r="AY51" s="322">
        <v>0.25240000000000001</v>
      </c>
      <c r="AZ51" s="322">
        <v>0.248</v>
      </c>
      <c r="BA51" s="322">
        <v>0.23980000000000001</v>
      </c>
      <c r="BB51" s="322">
        <v>0.2707</v>
      </c>
      <c r="BC51" s="322">
        <v>0.2787</v>
      </c>
      <c r="BD51" s="322">
        <v>0.3145</v>
      </c>
      <c r="BE51" s="322">
        <v>0.29480000000000001</v>
      </c>
      <c r="BF51" s="322">
        <v>0.32079999999999997</v>
      </c>
      <c r="BH51" s="230"/>
      <c r="BI51" s="229"/>
    </row>
    <row r="52" spans="1:66"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</row>
    <row r="53" spans="1:66"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</row>
    <row r="54" spans="1:66">
      <c r="A54" s="400" t="s">
        <v>254</v>
      </c>
      <c r="B54" s="398" t="s">
        <v>83</v>
      </c>
      <c r="C54" s="398" t="s">
        <v>84</v>
      </c>
      <c r="D54" s="398" t="s">
        <v>85</v>
      </c>
      <c r="E54" s="398" t="s">
        <v>86</v>
      </c>
      <c r="F54" s="398" t="s">
        <v>87</v>
      </c>
      <c r="G54" s="398" t="s">
        <v>88</v>
      </c>
      <c r="H54" s="398" t="s">
        <v>89</v>
      </c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AH54" s="323"/>
      <c r="AI54" s="323"/>
      <c r="AJ54" s="323"/>
      <c r="AK54" s="323"/>
      <c r="AL54" s="323"/>
      <c r="AM54" s="323"/>
      <c r="AN54" s="323"/>
      <c r="AO54" s="323"/>
      <c r="AP54" s="323"/>
      <c r="AQ54" s="323"/>
      <c r="AR54" s="323"/>
      <c r="AS54" s="323"/>
      <c r="AT54" s="323"/>
      <c r="AU54" s="323"/>
      <c r="AV54" s="323"/>
      <c r="AW54" s="323"/>
      <c r="AX54" s="323"/>
      <c r="AY54" s="323"/>
      <c r="AZ54" s="323"/>
      <c r="BA54" s="323"/>
      <c r="BB54" s="404"/>
      <c r="BC54" s="404"/>
      <c r="BD54" s="404"/>
      <c r="BE54" s="404"/>
      <c r="BF54" s="323"/>
    </row>
    <row r="55" spans="1:66">
      <c r="A55" s="65" t="s">
        <v>252</v>
      </c>
      <c r="B55" s="399">
        <v>31811</v>
      </c>
      <c r="C55" s="399">
        <v>31908</v>
      </c>
      <c r="D55" s="399">
        <v>32080</v>
      </c>
      <c r="E55" s="399">
        <v>31556</v>
      </c>
      <c r="F55" s="399">
        <v>31019</v>
      </c>
      <c r="G55" s="399">
        <v>31269</v>
      </c>
      <c r="H55" s="399">
        <v>31335</v>
      </c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  <c r="AX55" s="401"/>
      <c r="AY55" s="401"/>
      <c r="AZ55" s="401"/>
      <c r="BA55" s="401"/>
      <c r="BB55" s="408">
        <v>31639.88</v>
      </c>
      <c r="BC55" s="408">
        <v>32401.32</v>
      </c>
      <c r="BD55" s="408">
        <v>32836.699999999997</v>
      </c>
      <c r="BE55" s="408">
        <v>34048.400000000001</v>
      </c>
      <c r="BF55" s="401"/>
      <c r="BK55" s="429"/>
      <c r="BL55" s="429"/>
      <c r="BM55" s="429"/>
      <c r="BN55" s="429"/>
    </row>
    <row r="56" spans="1:66">
      <c r="A56" s="65" t="s">
        <v>251</v>
      </c>
      <c r="B56" s="399">
        <v>31510</v>
      </c>
      <c r="C56" s="399">
        <v>31678</v>
      </c>
      <c r="D56" s="399">
        <v>31870</v>
      </c>
      <c r="E56" s="399">
        <v>31396</v>
      </c>
      <c r="F56" s="399">
        <v>30879</v>
      </c>
      <c r="G56" s="399">
        <v>31113</v>
      </c>
      <c r="H56" s="399">
        <v>31540</v>
      </c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  <c r="AX56" s="401"/>
      <c r="AY56" s="401"/>
      <c r="AZ56" s="401"/>
      <c r="BA56" s="401"/>
      <c r="BB56" s="407">
        <v>31611.23</v>
      </c>
      <c r="BC56" s="407">
        <v>32348.62</v>
      </c>
      <c r="BD56" s="407">
        <v>32815.08</v>
      </c>
      <c r="BE56" s="407">
        <v>34016.46</v>
      </c>
      <c r="BF56" s="401"/>
      <c r="BK56" s="429"/>
      <c r="BL56" s="429"/>
      <c r="BM56" s="429"/>
      <c r="BN56" s="429"/>
    </row>
    <row r="57" spans="1:66">
      <c r="A57" s="65" t="s">
        <v>250</v>
      </c>
      <c r="B57" s="399">
        <v>39787</v>
      </c>
      <c r="C57" s="399">
        <v>39908</v>
      </c>
      <c r="D57" s="399">
        <v>40199</v>
      </c>
      <c r="E57" s="399">
        <v>39680</v>
      </c>
      <c r="F57" s="399">
        <v>38985</v>
      </c>
      <c r="G57" s="399">
        <v>39431</v>
      </c>
      <c r="H57" s="399">
        <v>39635</v>
      </c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AH57" s="401"/>
      <c r="AI57" s="401"/>
      <c r="AJ57" s="401"/>
      <c r="AK57" s="401"/>
      <c r="AL57" s="401"/>
      <c r="AM57" s="401"/>
      <c r="AN57" s="401"/>
      <c r="AO57" s="401"/>
      <c r="AP57" s="401"/>
      <c r="AQ57" s="401"/>
      <c r="AR57" s="401"/>
      <c r="AS57" s="401"/>
      <c r="AT57" s="401"/>
      <c r="AU57" s="401"/>
      <c r="AV57" s="401"/>
      <c r="AW57" s="401"/>
      <c r="AX57" s="401"/>
      <c r="AY57" s="401"/>
      <c r="AZ57" s="401"/>
      <c r="BA57" s="401"/>
      <c r="BB57" s="402">
        <v>1792.81</v>
      </c>
      <c r="BC57" s="402">
        <v>1971.46</v>
      </c>
      <c r="BD57" s="402">
        <v>2076.31</v>
      </c>
      <c r="BE57" s="402">
        <v>1987.79</v>
      </c>
      <c r="BF57" s="401"/>
      <c r="BK57" s="429"/>
      <c r="BL57" s="429"/>
      <c r="BM57" s="429"/>
      <c r="BN57" s="429"/>
    </row>
    <row r="58" spans="1:66">
      <c r="A58" s="65" t="s">
        <v>253</v>
      </c>
      <c r="B58" s="399">
        <v>39486</v>
      </c>
      <c r="C58" s="399">
        <v>39677</v>
      </c>
      <c r="D58" s="399">
        <v>39989</v>
      </c>
      <c r="E58" s="399">
        <v>39520</v>
      </c>
      <c r="F58" s="399">
        <v>38846</v>
      </c>
      <c r="G58" s="399">
        <v>39274</v>
      </c>
      <c r="H58" s="399">
        <v>39840</v>
      </c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AH58" s="401"/>
      <c r="AI58" s="401"/>
      <c r="AJ58" s="401"/>
      <c r="AK58" s="401"/>
      <c r="AL58" s="401"/>
      <c r="AM58" s="401"/>
      <c r="AN58" s="401"/>
      <c r="AO58" s="401"/>
      <c r="AP58" s="401"/>
      <c r="AQ58" s="401"/>
      <c r="AR58" s="401"/>
      <c r="AS58" s="401"/>
      <c r="AT58" s="401"/>
      <c r="AU58" s="401"/>
      <c r="AV58" s="401"/>
      <c r="AW58" s="401"/>
      <c r="AX58" s="401"/>
      <c r="AY58" s="401"/>
      <c r="AZ58" s="401"/>
      <c r="BA58" s="401"/>
      <c r="BB58" s="406">
        <v>1821.47</v>
      </c>
      <c r="BC58" s="406">
        <v>2024.16</v>
      </c>
      <c r="BD58" s="406">
        <v>2097.94</v>
      </c>
      <c r="BE58" s="406">
        <v>2019.73</v>
      </c>
      <c r="BF58" s="401"/>
      <c r="BK58" s="429"/>
      <c r="BL58" s="429"/>
      <c r="BM58" s="429"/>
      <c r="BN58" s="429"/>
    </row>
    <row r="59" spans="1:66">
      <c r="A59" s="65"/>
      <c r="B59" s="399"/>
      <c r="C59" s="399"/>
      <c r="D59" s="399"/>
      <c r="E59" s="399"/>
      <c r="F59" s="399"/>
      <c r="G59" s="399"/>
      <c r="H59" s="399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AH59" s="323"/>
      <c r="AI59" s="323"/>
      <c r="AJ59" s="323"/>
      <c r="AK59" s="323"/>
      <c r="AL59" s="323"/>
      <c r="AM59" s="323"/>
      <c r="AN59" s="323"/>
      <c r="AO59" s="323"/>
      <c r="AP59" s="323"/>
      <c r="AQ59" s="323"/>
      <c r="AR59" s="323"/>
      <c r="AS59" s="323"/>
      <c r="AT59" s="323"/>
      <c r="AU59" s="323"/>
      <c r="AV59" s="323"/>
      <c r="AW59" s="323"/>
      <c r="AX59" s="323"/>
      <c r="AY59" s="323"/>
      <c r="AZ59" s="323"/>
      <c r="BA59" s="323"/>
      <c r="BB59" s="406"/>
      <c r="BC59" s="406"/>
      <c r="BD59" s="406"/>
      <c r="BE59" s="406"/>
      <c r="BF59" s="323"/>
    </row>
    <row r="60" spans="1:66">
      <c r="A60" s="65"/>
      <c r="B60" s="399"/>
      <c r="C60" s="399"/>
      <c r="D60" s="399"/>
      <c r="E60" s="399"/>
      <c r="F60" s="399"/>
      <c r="G60" s="399"/>
      <c r="H60" s="399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AH60" s="323"/>
      <c r="AI60" s="323"/>
      <c r="AJ60" s="323"/>
      <c r="AK60" s="323"/>
      <c r="AL60" s="323"/>
      <c r="AM60" s="323"/>
      <c r="AN60" s="323"/>
      <c r="AO60" s="323"/>
      <c r="AP60" s="323"/>
      <c r="AQ60" s="323"/>
      <c r="AR60" s="323"/>
      <c r="AS60" s="323"/>
      <c r="AT60" s="323"/>
      <c r="AU60" s="323"/>
      <c r="AV60" s="323"/>
      <c r="AW60" s="323"/>
      <c r="AX60" s="323"/>
      <c r="AY60" s="323"/>
      <c r="AZ60" s="323"/>
      <c r="BA60" s="323"/>
      <c r="BB60" s="406"/>
      <c r="BC60" s="406"/>
      <c r="BD60" s="406"/>
      <c r="BE60" s="406"/>
      <c r="BF60" s="323"/>
    </row>
    <row r="61" spans="1:66">
      <c r="A61" s="63" t="s">
        <v>129</v>
      </c>
      <c r="B61" s="399"/>
      <c r="C61" s="399"/>
      <c r="D61" s="399"/>
      <c r="E61" s="399"/>
      <c r="F61" s="399"/>
      <c r="G61" s="399"/>
      <c r="H61" s="399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AH61" s="323"/>
      <c r="AI61" s="323"/>
      <c r="AJ61" s="323"/>
      <c r="AK61" s="323"/>
      <c r="AL61" s="323"/>
      <c r="AM61" s="323"/>
      <c r="AN61" s="323"/>
      <c r="AO61" s="323"/>
      <c r="AP61" s="323"/>
      <c r="AQ61" s="323"/>
      <c r="AR61" s="323"/>
      <c r="AS61" s="323"/>
      <c r="AT61" s="323"/>
      <c r="AU61" s="323"/>
      <c r="AV61" s="323"/>
      <c r="AW61" s="323"/>
      <c r="AX61" s="323"/>
      <c r="AY61" s="323"/>
      <c r="AZ61" s="323"/>
      <c r="BA61" s="323"/>
      <c r="BB61" s="406"/>
      <c r="BC61" s="406"/>
      <c r="BD61" s="406"/>
      <c r="BE61" s="406"/>
      <c r="BF61" s="323"/>
    </row>
    <row r="62" spans="1:66">
      <c r="A62" s="63" t="s">
        <v>130</v>
      </c>
      <c r="B62" s="399"/>
      <c r="C62" s="399"/>
      <c r="D62" s="399"/>
      <c r="E62" s="399"/>
      <c r="F62" s="399"/>
      <c r="G62" s="399"/>
      <c r="H62" s="399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AH62" s="323"/>
      <c r="AI62" s="323"/>
      <c r="AJ62" s="323"/>
      <c r="AK62" s="323"/>
      <c r="AL62" s="323"/>
      <c r="AM62" s="323"/>
      <c r="AN62" s="323"/>
      <c r="AO62" s="323"/>
      <c r="AP62" s="323"/>
      <c r="AQ62" s="323"/>
      <c r="AR62" s="323"/>
      <c r="AS62" s="323"/>
      <c r="AT62" s="323"/>
      <c r="AU62" s="323"/>
      <c r="AV62" s="323"/>
      <c r="AW62" s="323"/>
      <c r="AX62" s="323"/>
      <c r="AY62" s="323"/>
      <c r="AZ62" s="323"/>
      <c r="BA62" s="323"/>
      <c r="BB62" s="406"/>
      <c r="BC62" s="406"/>
      <c r="BD62" s="406"/>
      <c r="BE62" s="406"/>
      <c r="BF62" s="323"/>
    </row>
    <row r="63" spans="1:66">
      <c r="A63" s="166" t="s">
        <v>131</v>
      </c>
      <c r="B63" s="399"/>
      <c r="C63" s="399"/>
      <c r="D63" s="399"/>
      <c r="E63" s="399"/>
      <c r="F63" s="399"/>
      <c r="G63" s="399"/>
      <c r="H63" s="399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AH63" s="323"/>
      <c r="AI63" s="323"/>
      <c r="AJ63" s="323"/>
      <c r="AK63" s="323"/>
      <c r="AL63" s="323"/>
      <c r="AM63" s="323"/>
      <c r="AN63" s="323"/>
      <c r="AO63" s="323"/>
      <c r="AP63" s="323"/>
      <c r="AQ63" s="323"/>
      <c r="AR63" s="323"/>
      <c r="AS63" s="323"/>
      <c r="AT63" s="323"/>
      <c r="AU63" s="323"/>
      <c r="AV63" s="323"/>
      <c r="AW63" s="323"/>
      <c r="AX63" s="323"/>
      <c r="AY63" s="323"/>
      <c r="AZ63" s="323"/>
      <c r="BA63" s="323"/>
      <c r="BB63" s="406"/>
      <c r="BC63" s="406"/>
      <c r="BD63" s="406"/>
      <c r="BE63" s="406"/>
      <c r="BF63" s="323"/>
    </row>
    <row r="64" spans="1:66">
      <c r="A64" s="65"/>
      <c r="B64" s="399"/>
      <c r="C64" s="399"/>
      <c r="D64" s="399"/>
      <c r="E64" s="399"/>
      <c r="F64" s="399"/>
      <c r="G64" s="399"/>
      <c r="H64" s="399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AH64" s="323"/>
      <c r="AI64" s="323"/>
      <c r="AJ64" s="323"/>
      <c r="AK64" s="323"/>
      <c r="AL64" s="323"/>
      <c r="AM64" s="323"/>
      <c r="AN64" s="323"/>
      <c r="AO64" s="323"/>
      <c r="AP64" s="323"/>
      <c r="AQ64" s="323"/>
      <c r="AR64" s="323"/>
      <c r="AS64" s="323"/>
      <c r="AT64" s="323"/>
      <c r="AU64" s="323"/>
      <c r="AV64" s="323"/>
      <c r="AW64" s="323"/>
      <c r="AX64" s="323"/>
      <c r="AY64" s="323"/>
      <c r="AZ64" s="323"/>
      <c r="BA64" s="323"/>
      <c r="BB64" s="406"/>
      <c r="BC64" s="406"/>
      <c r="BD64" s="406"/>
      <c r="BE64" s="406"/>
      <c r="BF64" s="323"/>
    </row>
    <row r="65" spans="1:61"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AH65" s="323"/>
      <c r="AI65" s="323"/>
      <c r="AJ65" s="323"/>
      <c r="AK65" s="323"/>
      <c r="AL65" s="323"/>
      <c r="AM65" s="323"/>
      <c r="AN65" s="323"/>
      <c r="AO65" s="323"/>
      <c r="AP65" s="323"/>
      <c r="AQ65" s="323"/>
      <c r="AR65" s="323"/>
      <c r="AS65" s="323"/>
      <c r="AT65" s="323"/>
      <c r="AU65" s="323"/>
      <c r="AV65" s="323"/>
      <c r="AW65" s="323"/>
      <c r="AX65" s="323"/>
      <c r="AY65" s="323"/>
      <c r="AZ65" s="323"/>
      <c r="BA65" s="323"/>
      <c r="BB65" s="323"/>
      <c r="BC65" s="323"/>
      <c r="BD65" s="323"/>
      <c r="BE65" s="323"/>
      <c r="BF65" s="323"/>
    </row>
    <row r="66" spans="1:61">
      <c r="A66" s="10" t="s">
        <v>52</v>
      </c>
      <c r="B66" s="13"/>
      <c r="C66" s="13"/>
      <c r="D66" s="13"/>
      <c r="E66" s="11"/>
      <c r="F66" s="13"/>
      <c r="G66" s="13"/>
      <c r="H66" s="13"/>
      <c r="I66" s="11"/>
      <c r="J66" s="13"/>
      <c r="K66" s="13"/>
      <c r="L66" s="13"/>
      <c r="M66" s="11"/>
      <c r="N66" s="13"/>
      <c r="O66" s="13"/>
      <c r="P66" s="13"/>
      <c r="Q66" s="13"/>
      <c r="R66" s="13"/>
      <c r="S66" s="13"/>
      <c r="T66" s="13"/>
      <c r="U66" s="13"/>
      <c r="V66" s="13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</row>
    <row r="67" spans="1:61">
      <c r="AH67" s="323"/>
      <c r="AI67" s="323"/>
      <c r="AJ67" s="323"/>
      <c r="AK67" s="323"/>
      <c r="AL67" s="323"/>
      <c r="AM67" s="323"/>
      <c r="AN67" s="323"/>
      <c r="AO67" s="323"/>
      <c r="AP67" s="323"/>
      <c r="AQ67" s="323"/>
      <c r="AR67" s="323"/>
      <c r="AS67" s="323"/>
      <c r="AT67" s="323"/>
      <c r="AU67" s="323"/>
      <c r="AV67" s="323"/>
      <c r="AW67" s="323"/>
      <c r="AX67" s="323"/>
      <c r="AY67" s="323"/>
      <c r="AZ67" s="323"/>
      <c r="BA67" s="323"/>
      <c r="BB67" s="323"/>
      <c r="BC67" s="323"/>
      <c r="BD67" s="323"/>
      <c r="BE67" s="323"/>
      <c r="BF67" s="323"/>
    </row>
    <row r="68" spans="1:61">
      <c r="AH68" s="323"/>
      <c r="AI68" s="323"/>
      <c r="AJ68" s="323"/>
      <c r="AK68" s="323"/>
      <c r="AL68" s="323"/>
      <c r="AM68" s="323"/>
      <c r="AN68" s="323"/>
      <c r="AO68" s="323"/>
      <c r="AP68" s="323"/>
      <c r="AQ68" s="323"/>
      <c r="AR68" s="323"/>
      <c r="AS68" s="323"/>
      <c r="AT68" s="323"/>
      <c r="AU68" s="323"/>
      <c r="AV68" s="323"/>
      <c r="AW68" s="323"/>
      <c r="AX68" s="323"/>
      <c r="AY68" s="323"/>
      <c r="AZ68" s="323"/>
      <c r="BA68" s="323"/>
      <c r="BB68" s="323"/>
      <c r="BC68" s="323"/>
      <c r="BD68" s="323"/>
      <c r="BE68" s="323"/>
      <c r="BF68" s="323"/>
    </row>
    <row r="69" spans="1:61">
      <c r="AH69" s="323"/>
      <c r="AI69" s="323"/>
      <c r="AJ69" s="323"/>
      <c r="AK69" s="323"/>
      <c r="AL69" s="323"/>
      <c r="AM69" s="323"/>
      <c r="AN69" s="323"/>
      <c r="AO69" s="323"/>
      <c r="AP69" s="323"/>
      <c r="AQ69" s="323"/>
      <c r="AR69" s="323"/>
      <c r="AS69" s="323"/>
      <c r="AT69" s="323"/>
      <c r="AU69" s="323"/>
      <c r="AV69" s="323"/>
      <c r="AW69" s="323"/>
      <c r="AX69" s="323"/>
      <c r="AY69" s="323"/>
      <c r="AZ69" s="323"/>
      <c r="BA69" s="323"/>
      <c r="BB69" s="323"/>
      <c r="BC69" s="323"/>
      <c r="BD69" s="323"/>
      <c r="BE69" s="323"/>
      <c r="BF69" s="323"/>
    </row>
    <row r="70" spans="1:61">
      <c r="AH70" s="323"/>
      <c r="AI70" s="323"/>
      <c r="AJ70" s="323"/>
      <c r="AK70" s="323"/>
      <c r="AL70" s="323"/>
      <c r="AM70" s="323"/>
      <c r="AN70" s="323"/>
      <c r="AO70" s="323"/>
      <c r="AP70" s="323"/>
      <c r="AQ70" s="323"/>
      <c r="AR70" s="323"/>
      <c r="AS70" s="323"/>
      <c r="AT70" s="323"/>
      <c r="AU70" s="323"/>
      <c r="AV70" s="323"/>
      <c r="AW70" s="323"/>
      <c r="AX70" s="323"/>
      <c r="AY70" s="323"/>
      <c r="AZ70" s="323"/>
      <c r="BA70" s="323"/>
      <c r="BB70" s="323"/>
      <c r="BC70" s="323"/>
      <c r="BD70" s="323"/>
      <c r="BE70" s="323"/>
      <c r="BF70" s="323"/>
    </row>
    <row r="71" spans="1:61">
      <c r="AH71" s="323"/>
      <c r="AI71" s="323"/>
      <c r="AJ71" s="323"/>
      <c r="AK71" s="323"/>
      <c r="AL71" s="323"/>
      <c r="AM71" s="323"/>
      <c r="AN71" s="323"/>
      <c r="AO71" s="323"/>
      <c r="AP71" s="323"/>
      <c r="AQ71" s="323"/>
      <c r="AR71" s="323"/>
      <c r="AS71" s="323"/>
      <c r="AT71" s="323"/>
      <c r="AU71" s="323"/>
      <c r="AV71" s="323"/>
      <c r="AW71" s="323"/>
      <c r="AX71" s="323"/>
      <c r="AY71" s="323"/>
      <c r="AZ71" s="323"/>
      <c r="BA71" s="323"/>
      <c r="BB71" s="323"/>
      <c r="BC71" s="323"/>
      <c r="BD71" s="323"/>
      <c r="BE71" s="323"/>
      <c r="BF71" s="323"/>
    </row>
    <row r="72" spans="1:61">
      <c r="AH72" s="323"/>
      <c r="AI72" s="323"/>
      <c r="AJ72" s="323"/>
      <c r="AK72" s="323"/>
      <c r="AL72" s="323"/>
      <c r="AM72" s="323"/>
      <c r="AN72" s="323"/>
      <c r="AO72" s="323"/>
      <c r="AP72" s="323"/>
      <c r="AQ72" s="323"/>
      <c r="AR72" s="323"/>
      <c r="AS72" s="323"/>
      <c r="AT72" s="323"/>
      <c r="AU72" s="323"/>
      <c r="AV72" s="323"/>
      <c r="AW72" s="323"/>
      <c r="AX72" s="323"/>
      <c r="AY72" s="323"/>
      <c r="AZ72" s="323"/>
      <c r="BA72" s="323"/>
      <c r="BB72" s="323"/>
      <c r="BC72" s="323"/>
      <c r="BD72" s="323"/>
      <c r="BE72" s="323"/>
      <c r="BF72" s="323"/>
    </row>
    <row r="73" spans="1:61">
      <c r="AH73" s="323"/>
      <c r="AI73" s="323"/>
      <c r="AJ73" s="323"/>
      <c r="AK73" s="323"/>
      <c r="AL73" s="323"/>
      <c r="AM73" s="323"/>
      <c r="AN73" s="323"/>
      <c r="AO73" s="323"/>
      <c r="AP73" s="323"/>
      <c r="AQ73" s="323"/>
      <c r="AR73" s="323"/>
      <c r="AS73" s="323"/>
      <c r="AT73" s="323"/>
      <c r="AU73" s="323"/>
      <c r="AV73" s="323"/>
      <c r="AW73" s="323"/>
      <c r="AX73" s="323"/>
      <c r="AY73" s="323"/>
      <c r="AZ73" s="323"/>
      <c r="BA73" s="323"/>
      <c r="BB73" s="323"/>
      <c r="BC73" s="323"/>
      <c r="BD73" s="323"/>
      <c r="BE73" s="323"/>
      <c r="BF73" s="323"/>
    </row>
    <row r="74" spans="1:61"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3"/>
      <c r="AS74" s="323"/>
      <c r="AT74" s="323"/>
      <c r="AU74" s="323"/>
      <c r="AV74" s="323"/>
      <c r="AW74" s="323"/>
      <c r="AX74" s="323"/>
      <c r="AY74" s="323"/>
      <c r="AZ74" s="323"/>
      <c r="BA74" s="323"/>
      <c r="BB74" s="323"/>
      <c r="BC74" s="323"/>
      <c r="BD74" s="323"/>
      <c r="BE74" s="323"/>
      <c r="BF74" s="323"/>
    </row>
    <row r="75" spans="1:61">
      <c r="AH75" s="323"/>
      <c r="AI75" s="323"/>
      <c r="AJ75" s="323"/>
      <c r="AK75" s="323"/>
      <c r="AL75" s="323"/>
      <c r="AM75" s="323"/>
      <c r="AN75" s="323"/>
      <c r="AO75" s="323"/>
      <c r="AP75" s="323"/>
      <c r="AQ75" s="323"/>
      <c r="AR75" s="323"/>
      <c r="AS75" s="323"/>
      <c r="AT75" s="323"/>
      <c r="AU75" s="323"/>
      <c r="AV75" s="323"/>
      <c r="AW75" s="323"/>
      <c r="AX75" s="323"/>
      <c r="AY75" s="323"/>
      <c r="AZ75" s="323"/>
      <c r="BA75" s="323"/>
      <c r="BB75" s="323"/>
      <c r="BC75" s="323"/>
      <c r="BD75" s="323"/>
      <c r="BE75" s="323"/>
      <c r="BF75" s="323"/>
    </row>
    <row r="76" spans="1:61">
      <c r="AH76" s="323"/>
      <c r="AI76" s="323"/>
      <c r="AJ76" s="323"/>
      <c r="AK76" s="323"/>
      <c r="AL76" s="323"/>
      <c r="AM76" s="323"/>
      <c r="AN76" s="323"/>
      <c r="AO76" s="323"/>
      <c r="AP76" s="323"/>
      <c r="AQ76" s="323"/>
      <c r="AR76" s="323"/>
      <c r="AS76" s="323"/>
      <c r="AT76" s="323"/>
      <c r="AU76" s="323"/>
      <c r="AV76" s="323"/>
      <c r="AW76" s="323"/>
      <c r="AX76" s="323"/>
      <c r="AY76" s="323"/>
      <c r="AZ76" s="323"/>
      <c r="BA76" s="323"/>
      <c r="BB76" s="323"/>
      <c r="BC76" s="323"/>
      <c r="BD76" s="323"/>
      <c r="BE76" s="323"/>
      <c r="BF76" s="323"/>
    </row>
    <row r="77" spans="1:61">
      <c r="AH77" s="323"/>
      <c r="AI77" s="323"/>
      <c r="AJ77" s="323"/>
      <c r="AK77" s="323"/>
      <c r="AL77" s="323"/>
      <c r="AM77" s="323"/>
      <c r="AN77" s="323"/>
      <c r="AO77" s="323"/>
      <c r="AP77" s="323"/>
      <c r="AQ77" s="323"/>
      <c r="AR77" s="323"/>
      <c r="AS77" s="323"/>
      <c r="AT77" s="323"/>
      <c r="AU77" s="323"/>
      <c r="AV77" s="323"/>
      <c r="AW77" s="323"/>
      <c r="AX77" s="323"/>
      <c r="AY77" s="323"/>
      <c r="AZ77" s="323"/>
      <c r="BA77" s="323"/>
      <c r="BB77" s="323"/>
      <c r="BC77" s="323"/>
      <c r="BD77" s="323"/>
      <c r="BE77" s="323"/>
      <c r="BF77" s="323"/>
    </row>
    <row r="78" spans="1:61">
      <c r="AH78" s="323"/>
      <c r="AI78" s="323"/>
      <c r="AJ78" s="323"/>
      <c r="AK78" s="323"/>
      <c r="AL78" s="323"/>
      <c r="AM78" s="323"/>
      <c r="AN78" s="323"/>
      <c r="AO78" s="323"/>
      <c r="AP78" s="323"/>
      <c r="AQ78" s="323"/>
      <c r="AR78" s="323"/>
      <c r="AS78" s="323"/>
      <c r="AT78" s="323"/>
      <c r="AU78" s="323"/>
      <c r="AV78" s="323"/>
      <c r="AW78" s="323"/>
      <c r="AX78" s="323"/>
      <c r="AY78" s="323"/>
      <c r="AZ78" s="323"/>
      <c r="BA78" s="323"/>
      <c r="BB78" s="323"/>
      <c r="BC78" s="323"/>
      <c r="BD78" s="323"/>
      <c r="BE78" s="323"/>
      <c r="BF78" s="323"/>
    </row>
    <row r="79" spans="1:61">
      <c r="AH79" s="323"/>
      <c r="AI79" s="323"/>
      <c r="AJ79" s="323"/>
      <c r="AK79" s="323"/>
      <c r="AL79" s="323"/>
      <c r="AM79" s="323"/>
      <c r="AN79" s="323"/>
      <c r="AO79" s="323"/>
      <c r="AP79" s="323"/>
      <c r="AQ79" s="323"/>
      <c r="AR79" s="323"/>
      <c r="AS79" s="323"/>
      <c r="AT79" s="323"/>
      <c r="AU79" s="323"/>
      <c r="AV79" s="323"/>
      <c r="AW79" s="323"/>
      <c r="AX79" s="323"/>
      <c r="AY79" s="323"/>
      <c r="AZ79" s="323"/>
      <c r="BA79" s="323"/>
      <c r="BB79" s="323"/>
      <c r="BC79" s="323"/>
      <c r="BD79" s="323"/>
      <c r="BE79" s="323"/>
      <c r="BF79" s="323"/>
    </row>
    <row r="80" spans="1:61">
      <c r="AH80" s="323"/>
      <c r="AI80" s="323"/>
      <c r="AJ80" s="323"/>
      <c r="AK80" s="323"/>
      <c r="AL80" s="323"/>
      <c r="AM80" s="323"/>
      <c r="AN80" s="323"/>
      <c r="AO80" s="323"/>
      <c r="AP80" s="323"/>
      <c r="AQ80" s="323"/>
      <c r="AR80" s="323"/>
      <c r="AS80" s="323"/>
      <c r="AT80" s="323"/>
      <c r="AU80" s="323"/>
      <c r="AV80" s="323"/>
      <c r="AW80" s="323"/>
      <c r="AX80" s="323"/>
      <c r="AY80" s="323"/>
      <c r="AZ80" s="323"/>
      <c r="BA80" s="323"/>
      <c r="BB80" s="323"/>
      <c r="BC80" s="323"/>
      <c r="BD80" s="323"/>
      <c r="BE80" s="323"/>
      <c r="BF80" s="323"/>
    </row>
    <row r="81" spans="34:58">
      <c r="AH81" s="323"/>
      <c r="AI81" s="323"/>
      <c r="AJ81" s="323"/>
      <c r="AK81" s="323"/>
      <c r="AL81" s="323"/>
      <c r="AM81" s="323"/>
      <c r="AN81" s="323"/>
      <c r="AO81" s="323"/>
      <c r="AP81" s="323"/>
      <c r="AQ81" s="323"/>
      <c r="AR81" s="323"/>
      <c r="AS81" s="323"/>
      <c r="AT81" s="323"/>
      <c r="AU81" s="323"/>
      <c r="AV81" s="323"/>
      <c r="AW81" s="323"/>
      <c r="AX81" s="323"/>
      <c r="AY81" s="323"/>
      <c r="AZ81" s="323"/>
      <c r="BA81" s="323"/>
      <c r="BB81" s="323"/>
      <c r="BC81" s="323"/>
      <c r="BD81" s="323"/>
      <c r="BE81" s="323"/>
      <c r="BF81" s="323"/>
    </row>
    <row r="82" spans="34:58">
      <c r="AH82" s="323"/>
      <c r="AI82" s="323"/>
      <c r="AJ82" s="323"/>
      <c r="AK82" s="323"/>
      <c r="AL82" s="323"/>
      <c r="AM82" s="323"/>
      <c r="AN82" s="323"/>
      <c r="AO82" s="323"/>
      <c r="AP82" s="323"/>
      <c r="AQ82" s="323"/>
      <c r="AR82" s="323"/>
      <c r="AS82" s="323"/>
      <c r="AT82" s="323"/>
      <c r="AU82" s="323"/>
      <c r="AV82" s="323"/>
      <c r="AW82" s="323"/>
      <c r="AX82" s="323"/>
      <c r="AY82" s="323"/>
      <c r="AZ82" s="323"/>
      <c r="BA82" s="323"/>
      <c r="BB82" s="323"/>
      <c r="BC82" s="323"/>
      <c r="BD82" s="323"/>
      <c r="BE82" s="323"/>
      <c r="BF82" s="323"/>
    </row>
    <row r="83" spans="34:58">
      <c r="AH83" s="323"/>
      <c r="AI83" s="323"/>
      <c r="AJ83" s="323"/>
      <c r="AK83" s="323"/>
      <c r="AL83" s="323"/>
      <c r="AM83" s="323"/>
      <c r="AN83" s="323"/>
      <c r="AO83" s="323"/>
      <c r="AP83" s="323"/>
      <c r="AQ83" s="323"/>
      <c r="AR83" s="323"/>
      <c r="AS83" s="323"/>
      <c r="AT83" s="323"/>
      <c r="AU83" s="323"/>
      <c r="AV83" s="323"/>
      <c r="AW83" s="323"/>
      <c r="AX83" s="323"/>
      <c r="AY83" s="323"/>
      <c r="AZ83" s="323"/>
      <c r="BA83" s="323"/>
      <c r="BB83" s="323"/>
      <c r="BC83" s="323"/>
      <c r="BD83" s="323"/>
      <c r="BE83" s="323"/>
      <c r="BF83" s="323"/>
    </row>
    <row r="84" spans="34:58">
      <c r="AH84" s="323"/>
      <c r="AI84" s="323"/>
      <c r="AJ84" s="323"/>
      <c r="AK84" s="323"/>
      <c r="AL84" s="323"/>
      <c r="AM84" s="323"/>
      <c r="AN84" s="323"/>
      <c r="AO84" s="323"/>
      <c r="AP84" s="323"/>
      <c r="AQ84" s="323"/>
      <c r="AR84" s="323"/>
      <c r="AS84" s="323"/>
      <c r="AT84" s="323"/>
      <c r="AU84" s="323"/>
      <c r="AV84" s="323"/>
      <c r="AW84" s="323"/>
      <c r="AX84" s="323"/>
      <c r="AY84" s="323"/>
      <c r="AZ84" s="323"/>
      <c r="BA84" s="323"/>
      <c r="BB84" s="323"/>
      <c r="BC84" s="323"/>
      <c r="BD84" s="323"/>
      <c r="BE84" s="323"/>
      <c r="BF84" s="323"/>
    </row>
    <row r="85" spans="34:58">
      <c r="AH85" s="323"/>
      <c r="AI85" s="323"/>
      <c r="AJ85" s="323"/>
      <c r="AK85" s="323"/>
      <c r="AL85" s="323"/>
      <c r="AM85" s="323"/>
      <c r="AN85" s="323"/>
      <c r="AO85" s="323"/>
      <c r="AP85" s="323"/>
      <c r="AQ85" s="323"/>
      <c r="AR85" s="323"/>
      <c r="AS85" s="323"/>
      <c r="AT85" s="323"/>
      <c r="AU85" s="323"/>
      <c r="AV85" s="323"/>
      <c r="AW85" s="323"/>
      <c r="AX85" s="323"/>
      <c r="AY85" s="323"/>
      <c r="AZ85" s="323"/>
      <c r="BA85" s="323"/>
      <c r="BB85" s="323"/>
      <c r="BC85" s="323"/>
      <c r="BD85" s="323"/>
      <c r="BE85" s="323"/>
      <c r="BF85" s="323"/>
    </row>
    <row r="86" spans="34:58">
      <c r="AH86" s="323"/>
      <c r="AI86" s="323"/>
      <c r="AJ86" s="323"/>
      <c r="AK86" s="323"/>
      <c r="AL86" s="323"/>
      <c r="AM86" s="323"/>
      <c r="AN86" s="323"/>
      <c r="AO86" s="323"/>
      <c r="AP86" s="323"/>
      <c r="AQ86" s="323"/>
      <c r="AR86" s="323"/>
      <c r="AS86" s="323"/>
      <c r="AT86" s="323"/>
      <c r="AU86" s="323"/>
      <c r="AV86" s="323"/>
      <c r="AW86" s="323"/>
      <c r="AX86" s="323"/>
      <c r="AY86" s="323"/>
      <c r="AZ86" s="323"/>
      <c r="BA86" s="323"/>
      <c r="BB86" s="323"/>
      <c r="BC86" s="323"/>
      <c r="BD86" s="323"/>
      <c r="BE86" s="323"/>
      <c r="BF86" s="323"/>
    </row>
  </sheetData>
  <mergeCells count="17">
    <mergeCell ref="AP5:AS5"/>
    <mergeCell ref="AT5:AW5"/>
    <mergeCell ref="AX5:BA5"/>
    <mergeCell ref="AP39:BB39"/>
    <mergeCell ref="BB5:BE5"/>
    <mergeCell ref="AL5:AO5"/>
    <mergeCell ref="B4:U4"/>
    <mergeCell ref="W4:AD4"/>
    <mergeCell ref="AH4:AK4"/>
    <mergeCell ref="B5:E5"/>
    <mergeCell ref="F5:I5"/>
    <mergeCell ref="J5:M5"/>
    <mergeCell ref="N5:Q5"/>
    <mergeCell ref="R5:T5"/>
    <mergeCell ref="W5:Z5"/>
    <mergeCell ref="AA5:AD5"/>
    <mergeCell ref="AH5:AK5"/>
  </mergeCells>
  <phoneticPr fontId="45" type="noConversion"/>
  <hyperlinks>
    <hyperlink ref="A63" r:id="rId1" xr:uid="{F6518884-3AFA-46FD-B89C-A33FFB9D1505}"/>
  </hyperlinks>
  <pageMargins left="0.78740157480314965" right="0.19685039370078741" top="0.78740157480314965" bottom="0.59055118110236227" header="0.51181102362204722" footer="0.51181102362204722"/>
  <pageSetup paperSize="9" scale="53" fitToHeight="0" orientation="landscape" r:id="rId2"/>
  <headerFooter>
    <oddHeader>&amp;C&amp;"Calibri"&amp;10&amp;K000000 Classification: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A994-9083-4916-864A-44777A6691E3}">
  <dimension ref="A1:BE602"/>
  <sheetViews>
    <sheetView zoomScale="120" zoomScaleNormal="120" workbookViewId="0">
      <pane xSplit="1" ySplit="4" topLeftCell="V20" activePane="bottomRight" state="frozen"/>
      <selection pane="topRight" activeCell="B1" sqref="B1"/>
      <selection pane="bottomLeft" activeCell="A5" sqref="A5"/>
      <selection pane="bottomRight" activeCell="Z6" sqref="Z6"/>
    </sheetView>
  </sheetViews>
  <sheetFormatPr defaultRowHeight="14"/>
  <cols>
    <col min="1" max="1" width="31.58203125" style="3" bestFit="1" customWidth="1"/>
    <col min="2" max="2" width="9.5" style="3" bestFit="1" customWidth="1"/>
    <col min="3" max="22" width="8.58203125" style="3" bestFit="1" customWidth="1"/>
    <col min="23" max="26" width="8.58203125" style="3" customWidth="1"/>
  </cols>
  <sheetData>
    <row r="1" spans="1:29">
      <c r="A1" s="5" t="s">
        <v>244</v>
      </c>
    </row>
    <row r="2" spans="1:29">
      <c r="A2" s="9" t="s">
        <v>181</v>
      </c>
    </row>
    <row r="4" spans="1:29">
      <c r="A4" s="273" t="s">
        <v>150</v>
      </c>
      <c r="B4" s="274" t="s">
        <v>75</v>
      </c>
      <c r="C4" s="274" t="s">
        <v>76</v>
      </c>
      <c r="D4" s="274" t="s">
        <v>77</v>
      </c>
      <c r="E4" s="274" t="s">
        <v>78</v>
      </c>
      <c r="F4" s="274" t="s">
        <v>79</v>
      </c>
      <c r="G4" s="274" t="s">
        <v>80</v>
      </c>
      <c r="H4" s="274" t="s">
        <v>81</v>
      </c>
      <c r="I4" s="274" t="s">
        <v>82</v>
      </c>
      <c r="J4" s="274" t="s">
        <v>83</v>
      </c>
      <c r="K4" s="274" t="s">
        <v>84</v>
      </c>
      <c r="L4" s="274" t="s">
        <v>85</v>
      </c>
      <c r="M4" s="274" t="s">
        <v>86</v>
      </c>
      <c r="N4" s="274" t="s">
        <v>87</v>
      </c>
      <c r="O4" s="274" t="s">
        <v>88</v>
      </c>
      <c r="P4" s="274" t="s">
        <v>89</v>
      </c>
      <c r="Q4" s="274" t="s">
        <v>90</v>
      </c>
      <c r="R4" s="274" t="s">
        <v>91</v>
      </c>
      <c r="S4" s="274" t="s">
        <v>92</v>
      </c>
      <c r="T4" s="274" t="s">
        <v>93</v>
      </c>
      <c r="U4" s="274" t="s">
        <v>94</v>
      </c>
      <c r="V4" s="274" t="s">
        <v>95</v>
      </c>
      <c r="W4" s="274" t="s">
        <v>96</v>
      </c>
      <c r="X4" s="274" t="s">
        <v>97</v>
      </c>
      <c r="Y4" s="274" t="s">
        <v>98</v>
      </c>
      <c r="Z4" s="274" t="s">
        <v>243</v>
      </c>
    </row>
    <row r="5" spans="1:29">
      <c r="A5" s="275" t="s">
        <v>182</v>
      </c>
      <c r="B5" s="278">
        <v>30556.53</v>
      </c>
      <c r="C5" s="278">
        <v>25826.49</v>
      </c>
      <c r="D5" s="278">
        <v>16634.14</v>
      </c>
      <c r="E5" s="278">
        <v>18420.77</v>
      </c>
      <c r="F5" s="278">
        <v>17750.23</v>
      </c>
      <c r="G5" s="278">
        <v>16970.12</v>
      </c>
      <c r="H5" s="278">
        <v>11335.93</v>
      </c>
      <c r="I5" s="278">
        <v>12739.29</v>
      </c>
      <c r="J5" s="278">
        <v>16388.77</v>
      </c>
      <c r="K5" s="278">
        <v>10148.34</v>
      </c>
      <c r="L5" s="278">
        <v>9357.8700000000008</v>
      </c>
      <c r="M5" s="278">
        <v>9013.52</v>
      </c>
      <c r="N5" s="278">
        <v>12487.91</v>
      </c>
      <c r="O5" s="278">
        <v>13584.26</v>
      </c>
      <c r="P5" s="278">
        <v>15811.21</v>
      </c>
      <c r="Q5" s="278">
        <v>14743.58</v>
      </c>
      <c r="R5" s="278">
        <v>23263.18</v>
      </c>
      <c r="S5" s="278">
        <v>14128.01</v>
      </c>
      <c r="T5" s="278">
        <v>12975.5</v>
      </c>
      <c r="U5" s="278">
        <v>22607.07</v>
      </c>
      <c r="V5" s="278">
        <v>35041.78</v>
      </c>
      <c r="W5" s="278">
        <v>20713.7</v>
      </c>
      <c r="X5" s="278">
        <v>15222.73</v>
      </c>
      <c r="Y5" s="278">
        <v>25353.77</v>
      </c>
      <c r="Z5" s="278">
        <v>68094.17</v>
      </c>
    </row>
    <row r="6" spans="1:29">
      <c r="A6" s="275" t="s">
        <v>183</v>
      </c>
      <c r="B6" s="278">
        <v>1845.23</v>
      </c>
      <c r="C6" s="278">
        <v>1731.71</v>
      </c>
      <c r="D6" s="278">
        <v>1829.33</v>
      </c>
      <c r="E6" s="278">
        <v>1920.9</v>
      </c>
      <c r="F6" s="278">
        <v>1783.16</v>
      </c>
      <c r="G6" s="278">
        <v>1444.36</v>
      </c>
      <c r="H6" s="278">
        <v>1384.65</v>
      </c>
      <c r="I6" s="278">
        <v>1391.93</v>
      </c>
      <c r="J6" s="278">
        <v>1257.94</v>
      </c>
      <c r="K6" s="278">
        <v>1019.87</v>
      </c>
      <c r="L6" s="278">
        <v>1035.3499999999999</v>
      </c>
      <c r="M6" s="278">
        <v>982.25</v>
      </c>
      <c r="N6" s="278">
        <v>889.02</v>
      </c>
      <c r="O6" s="278">
        <v>847.9</v>
      </c>
      <c r="P6" s="278">
        <v>563.52</v>
      </c>
      <c r="Q6" s="278">
        <v>556.9</v>
      </c>
      <c r="R6" s="278">
        <v>516.38</v>
      </c>
      <c r="S6" s="278">
        <v>468.62</v>
      </c>
      <c r="T6" s="278">
        <v>555.95000000000005</v>
      </c>
      <c r="U6" s="278">
        <v>580.03</v>
      </c>
      <c r="V6" s="278">
        <v>470.13</v>
      </c>
      <c r="W6" s="278">
        <v>1046.27</v>
      </c>
      <c r="X6" s="384">
        <v>984.96</v>
      </c>
      <c r="Y6" s="384">
        <v>1086.58</v>
      </c>
      <c r="Z6" s="384">
        <v>921.94</v>
      </c>
    </row>
    <row r="7" spans="1:29">
      <c r="A7" s="275" t="s">
        <v>184</v>
      </c>
      <c r="B7" s="278">
        <v>16310</v>
      </c>
      <c r="C7" s="278">
        <v>17260</v>
      </c>
      <c r="D7" s="278">
        <v>16768</v>
      </c>
      <c r="E7" s="278">
        <v>16579</v>
      </c>
      <c r="F7" s="278">
        <v>15862</v>
      </c>
      <c r="G7" s="278">
        <v>16173</v>
      </c>
      <c r="H7" s="278">
        <v>15103</v>
      </c>
      <c r="I7" s="278">
        <v>15219</v>
      </c>
      <c r="J7" s="278">
        <v>15149</v>
      </c>
      <c r="K7" s="278">
        <v>16083</v>
      </c>
      <c r="L7" s="278">
        <v>16766.189999999999</v>
      </c>
      <c r="M7" s="278">
        <v>16414.37</v>
      </c>
      <c r="N7" s="278">
        <v>16466.599999999999</v>
      </c>
      <c r="O7" s="278">
        <v>17160.53</v>
      </c>
      <c r="P7" s="278">
        <v>17524.599999999999</v>
      </c>
      <c r="Q7" s="278">
        <v>17638</v>
      </c>
      <c r="R7" s="278">
        <v>16932.150000000001</v>
      </c>
      <c r="S7" s="278">
        <v>17470.150000000001</v>
      </c>
      <c r="T7" s="278">
        <v>17588.150000000001</v>
      </c>
      <c r="U7" s="278">
        <v>17622</v>
      </c>
      <c r="V7" s="278">
        <v>16492.53</v>
      </c>
      <c r="W7" s="278">
        <v>16263</v>
      </c>
      <c r="X7" s="278">
        <v>15715.15</v>
      </c>
      <c r="Y7" s="278">
        <v>15564</v>
      </c>
      <c r="Z7" s="278">
        <v>15400</v>
      </c>
    </row>
    <row r="8" spans="1:29">
      <c r="A8" s="275" t="s">
        <v>185</v>
      </c>
      <c r="B8" s="278">
        <v>2738.84</v>
      </c>
      <c r="C8" s="278">
        <v>3190.46</v>
      </c>
      <c r="D8" s="278">
        <v>2669.38</v>
      </c>
      <c r="E8" s="278">
        <v>2372.09</v>
      </c>
      <c r="F8" s="278">
        <v>3888.71</v>
      </c>
      <c r="G8" s="278">
        <v>3188.98</v>
      </c>
      <c r="H8" s="278">
        <v>1895.03</v>
      </c>
      <c r="I8" s="278">
        <v>2104.3000000000002</v>
      </c>
      <c r="J8" s="278">
        <v>3831.14</v>
      </c>
      <c r="K8" s="278">
        <v>4058.16</v>
      </c>
      <c r="L8" s="278">
        <v>5005.79</v>
      </c>
      <c r="M8" s="278">
        <v>3839.28</v>
      </c>
      <c r="N8" s="278">
        <v>3991.98</v>
      </c>
      <c r="O8" s="278">
        <v>2947.77</v>
      </c>
      <c r="P8" s="278">
        <v>3379.3</v>
      </c>
      <c r="Q8" s="278">
        <v>4147.22</v>
      </c>
      <c r="R8" s="278">
        <v>3864</v>
      </c>
      <c r="S8" s="278">
        <v>3432.79</v>
      </c>
      <c r="T8" s="278">
        <v>4550.3999999999996</v>
      </c>
      <c r="U8" s="278">
        <v>5066.5200000000004</v>
      </c>
      <c r="V8" s="278">
        <v>3440.84</v>
      </c>
      <c r="W8" s="278">
        <v>3824.26</v>
      </c>
      <c r="X8" s="278">
        <v>4096.22</v>
      </c>
      <c r="Y8" s="278">
        <v>4107.42</v>
      </c>
      <c r="Z8" s="278">
        <v>3885.75</v>
      </c>
    </row>
    <row r="9" spans="1:29">
      <c r="A9" s="276" t="s">
        <v>186</v>
      </c>
      <c r="B9" s="279">
        <v>3886.73</v>
      </c>
      <c r="C9" s="279">
        <v>3584.04</v>
      </c>
      <c r="D9" s="279">
        <v>3998.38</v>
      </c>
      <c r="E9" s="279">
        <v>2862.45</v>
      </c>
      <c r="F9" s="279">
        <v>3096.59</v>
      </c>
      <c r="G9" s="279">
        <v>3411.62</v>
      </c>
      <c r="H9" s="279">
        <v>4043.79</v>
      </c>
      <c r="I9" s="279">
        <v>4111.28</v>
      </c>
      <c r="J9" s="279">
        <v>4390.9799999999996</v>
      </c>
      <c r="K9" s="279">
        <v>5071.78</v>
      </c>
      <c r="L9" s="279">
        <v>5720.13</v>
      </c>
      <c r="M9" s="279">
        <v>4088.31</v>
      </c>
      <c r="N9" s="279">
        <v>3626.38</v>
      </c>
      <c r="O9" s="279">
        <v>3655.32</v>
      </c>
      <c r="P9" s="279">
        <v>3384.99</v>
      </c>
      <c r="Q9" s="279">
        <v>5194.8500000000004</v>
      </c>
      <c r="R9" s="279">
        <v>5222.76</v>
      </c>
      <c r="S9" s="279">
        <v>5636.42</v>
      </c>
      <c r="T9" s="279">
        <v>4982.8599999999997</v>
      </c>
      <c r="U9" s="279">
        <v>4150.99</v>
      </c>
      <c r="V9" s="279">
        <v>4269.34</v>
      </c>
      <c r="W9" s="279">
        <v>6169.1</v>
      </c>
      <c r="X9" s="279">
        <v>5603.75</v>
      </c>
      <c r="Y9" s="279">
        <v>6592.21</v>
      </c>
      <c r="Z9" s="279">
        <v>6519.21</v>
      </c>
    </row>
    <row r="10" spans="1:29" s="258" customFormat="1">
      <c r="A10" s="277" t="s">
        <v>187</v>
      </c>
      <c r="B10" s="280">
        <v>55337.33</v>
      </c>
      <c r="C10" s="280">
        <v>51592.69</v>
      </c>
      <c r="D10" s="280">
        <v>41899.230000000003</v>
      </c>
      <c r="E10" s="280">
        <v>42155.21</v>
      </c>
      <c r="F10" s="280">
        <v>42380.69</v>
      </c>
      <c r="G10" s="280">
        <v>41188.080000000002</v>
      </c>
      <c r="H10" s="280">
        <v>33762.400000000001</v>
      </c>
      <c r="I10" s="280">
        <v>35565.79</v>
      </c>
      <c r="J10" s="280">
        <v>41017.83</v>
      </c>
      <c r="K10" s="280">
        <v>36381.15</v>
      </c>
      <c r="L10" s="280">
        <v>37885.32</v>
      </c>
      <c r="M10" s="280">
        <v>34337.730000000003</v>
      </c>
      <c r="N10" s="280">
        <v>37461.879999999997</v>
      </c>
      <c r="O10" s="280">
        <v>38195.78</v>
      </c>
      <c r="P10" s="280">
        <v>40663.620000000003</v>
      </c>
      <c r="Q10" s="280">
        <v>42280.55</v>
      </c>
      <c r="R10" s="280">
        <v>49798.47</v>
      </c>
      <c r="S10" s="280">
        <v>41135.980000000003</v>
      </c>
      <c r="T10" s="280">
        <v>40652.86</v>
      </c>
      <c r="U10" s="280">
        <v>50026.61</v>
      </c>
      <c r="V10" s="280">
        <v>59714.62</v>
      </c>
      <c r="W10" s="280">
        <v>48016.34</v>
      </c>
      <c r="X10" s="280">
        <v>41622.81</v>
      </c>
      <c r="Y10" s="280">
        <v>52703.98</v>
      </c>
      <c r="Z10" s="280">
        <v>94821.06</v>
      </c>
      <c r="AC10"/>
    </row>
    <row r="11" spans="1:29">
      <c r="A11" s="275" t="s">
        <v>188</v>
      </c>
      <c r="B11" s="278">
        <v>117578.27</v>
      </c>
      <c r="C11" s="278">
        <v>115142.92</v>
      </c>
      <c r="D11" s="278">
        <v>112681.06</v>
      </c>
      <c r="E11" s="278">
        <v>110219.2</v>
      </c>
      <c r="F11" s="278">
        <v>127043.13</v>
      </c>
      <c r="G11" s="278">
        <v>137828.73000000001</v>
      </c>
      <c r="H11" s="278">
        <v>134801.71</v>
      </c>
      <c r="I11" s="278">
        <v>131774.69</v>
      </c>
      <c r="J11" s="278">
        <v>128813.48</v>
      </c>
      <c r="K11" s="278">
        <v>125819.36</v>
      </c>
      <c r="L11" s="278">
        <v>122792.35</v>
      </c>
      <c r="M11" s="278">
        <v>119765.33</v>
      </c>
      <c r="N11" s="278">
        <v>116804.12</v>
      </c>
      <c r="O11" s="278">
        <v>113810</v>
      </c>
      <c r="P11" s="278">
        <v>110782.99</v>
      </c>
      <c r="Q11" s="278">
        <v>121154.28</v>
      </c>
      <c r="R11" s="278">
        <v>117897.77</v>
      </c>
      <c r="S11" s="278">
        <v>114641.28</v>
      </c>
      <c r="T11" s="278">
        <v>111349</v>
      </c>
      <c r="U11" s="278">
        <v>108056.71</v>
      </c>
      <c r="V11" s="278">
        <v>104827.18</v>
      </c>
      <c r="W11" s="278">
        <v>101561.76</v>
      </c>
      <c r="X11" s="278">
        <v>112239.7</v>
      </c>
      <c r="Y11" s="278">
        <v>108705.71</v>
      </c>
      <c r="Z11" s="278">
        <v>105243.84</v>
      </c>
    </row>
    <row r="12" spans="1:29">
      <c r="A12" s="275" t="s">
        <v>189</v>
      </c>
      <c r="B12" s="278">
        <v>122330.85</v>
      </c>
      <c r="C12" s="278">
        <v>123840.77</v>
      </c>
      <c r="D12" s="278">
        <v>123755.03</v>
      </c>
      <c r="E12" s="278">
        <v>122517.64</v>
      </c>
      <c r="F12" s="278">
        <v>119277.52</v>
      </c>
      <c r="G12" s="278">
        <v>117184.14</v>
      </c>
      <c r="H12" s="278">
        <v>116704.2</v>
      </c>
      <c r="I12" s="278">
        <v>117843.74</v>
      </c>
      <c r="J12" s="278">
        <v>115800.28</v>
      </c>
      <c r="K12" s="278">
        <v>116086.9</v>
      </c>
      <c r="L12" s="278">
        <v>113989.14</v>
      </c>
      <c r="M12" s="278">
        <v>113252.05</v>
      </c>
      <c r="N12" s="278">
        <v>107853.97</v>
      </c>
      <c r="O12" s="278">
        <v>107895.73</v>
      </c>
      <c r="P12" s="278">
        <v>106355.81</v>
      </c>
      <c r="Q12" s="278">
        <v>139223.82</v>
      </c>
      <c r="R12" s="278">
        <v>137089.26999999999</v>
      </c>
      <c r="S12" s="278">
        <v>132968.03</v>
      </c>
      <c r="T12" s="278">
        <v>130302.49</v>
      </c>
      <c r="U12" s="278">
        <v>126998.57</v>
      </c>
      <c r="V12" s="278">
        <v>123558.8</v>
      </c>
      <c r="W12" s="278">
        <v>120407.66</v>
      </c>
      <c r="X12" s="278">
        <v>118936.12</v>
      </c>
      <c r="Y12" s="278">
        <v>118626.35</v>
      </c>
      <c r="Z12" s="278">
        <v>118047.44</v>
      </c>
    </row>
    <row r="13" spans="1:29">
      <c r="A13" s="275" t="s">
        <v>190</v>
      </c>
      <c r="B13" s="278">
        <v>65296.160000000003</v>
      </c>
      <c r="C13" s="278">
        <v>62933.94</v>
      </c>
      <c r="D13" s="278">
        <v>60891.55</v>
      </c>
      <c r="E13" s="278">
        <v>58722.7</v>
      </c>
      <c r="F13" s="278">
        <v>57145.33</v>
      </c>
      <c r="G13" s="278">
        <v>54690.53</v>
      </c>
      <c r="H13" s="278">
        <v>52515.56</v>
      </c>
      <c r="I13" s="278">
        <v>50574.03</v>
      </c>
      <c r="J13" s="278">
        <v>48826.57</v>
      </c>
      <c r="K13" s="278">
        <v>47044.800000000003</v>
      </c>
      <c r="L13" s="278">
        <v>44759.11</v>
      </c>
      <c r="M13" s="278">
        <v>42860.58</v>
      </c>
      <c r="N13" s="278">
        <v>41327.26</v>
      </c>
      <c r="O13" s="278">
        <v>39025.08</v>
      </c>
      <c r="P13" s="278">
        <v>37279.01</v>
      </c>
      <c r="Q13" s="278">
        <v>101224.68</v>
      </c>
      <c r="R13" s="278">
        <v>98967.02</v>
      </c>
      <c r="S13" s="278">
        <v>96026.36</v>
      </c>
      <c r="T13" s="278">
        <v>93595.02</v>
      </c>
      <c r="U13" s="278">
        <v>90710.63</v>
      </c>
      <c r="V13" s="278">
        <v>87797.71</v>
      </c>
      <c r="W13" s="278">
        <v>84823.13</v>
      </c>
      <c r="X13" s="278">
        <v>82275.73</v>
      </c>
      <c r="Y13" s="278">
        <v>79897.350000000006</v>
      </c>
      <c r="Z13" s="278">
        <v>77738.5</v>
      </c>
    </row>
    <row r="14" spans="1:29">
      <c r="A14" s="275" t="s">
        <v>191</v>
      </c>
      <c r="B14" s="278">
        <v>5412.52</v>
      </c>
      <c r="C14" s="278">
        <v>5474.63</v>
      </c>
      <c r="D14" s="278">
        <v>5426.69</v>
      </c>
      <c r="E14" s="278">
        <v>7122.85</v>
      </c>
      <c r="F14" s="278">
        <v>8486.5</v>
      </c>
      <c r="G14" s="278">
        <v>9315.26</v>
      </c>
      <c r="H14" s="278">
        <v>9435.26</v>
      </c>
      <c r="I14" s="278">
        <v>10864.29</v>
      </c>
      <c r="J14" s="278">
        <v>11588.42</v>
      </c>
      <c r="K14" s="278">
        <v>14531.96</v>
      </c>
      <c r="L14" s="278">
        <v>15940.41</v>
      </c>
      <c r="M14" s="278">
        <v>16826.78</v>
      </c>
      <c r="N14" s="278">
        <v>16909.830000000002</v>
      </c>
      <c r="O14" s="278">
        <v>17761.16</v>
      </c>
      <c r="P14" s="278">
        <v>18214.349999999999</v>
      </c>
      <c r="Q14" s="278">
        <v>20882.400000000001</v>
      </c>
      <c r="R14" s="278">
        <v>21585.8</v>
      </c>
      <c r="S14" s="278">
        <v>23665.56</v>
      </c>
      <c r="T14" s="278">
        <v>23928.13</v>
      </c>
      <c r="U14" s="278">
        <v>24830.22</v>
      </c>
      <c r="V14" s="278">
        <v>24876.98</v>
      </c>
      <c r="W14" s="278">
        <v>25707.58</v>
      </c>
      <c r="X14" s="278">
        <v>27021.7</v>
      </c>
      <c r="Y14" s="278">
        <v>27635.599999999999</v>
      </c>
      <c r="Z14" s="278">
        <v>28002.85</v>
      </c>
    </row>
    <row r="15" spans="1:29">
      <c r="A15" s="275" t="s">
        <v>192</v>
      </c>
      <c r="B15" s="278">
        <v>3705.09</v>
      </c>
      <c r="C15" s="278">
        <v>3777.27</v>
      </c>
      <c r="D15" s="278">
        <v>3828.1</v>
      </c>
      <c r="E15" s="278">
        <v>4120.3599999999997</v>
      </c>
      <c r="F15" s="278">
        <v>4136.41</v>
      </c>
      <c r="G15" s="278">
        <v>4130.82</v>
      </c>
      <c r="H15" s="278">
        <v>4032.96</v>
      </c>
      <c r="I15" s="278">
        <v>4235.54</v>
      </c>
      <c r="J15" s="278">
        <v>4245.75</v>
      </c>
      <c r="K15" s="278">
        <v>4093.97</v>
      </c>
      <c r="L15" s="278">
        <v>4123.82</v>
      </c>
      <c r="M15" s="278">
        <v>4597.43</v>
      </c>
      <c r="N15" s="278">
        <v>4673.91</v>
      </c>
      <c r="O15" s="278">
        <v>4572.18</v>
      </c>
      <c r="P15" s="278">
        <v>4517.74</v>
      </c>
      <c r="Q15" s="278">
        <v>3703.49</v>
      </c>
      <c r="R15" s="278">
        <v>3648.69</v>
      </c>
      <c r="S15" s="278">
        <v>3716.93</v>
      </c>
      <c r="T15" s="278">
        <v>3848.63</v>
      </c>
      <c r="U15" s="278">
        <v>4302.24</v>
      </c>
      <c r="V15" s="278">
        <v>4387.6899999999996</v>
      </c>
      <c r="W15" s="278">
        <v>4631.24</v>
      </c>
      <c r="X15" s="278">
        <v>4866.6899999999996</v>
      </c>
      <c r="Y15" s="278">
        <v>6293.16</v>
      </c>
      <c r="Z15" s="278">
        <v>6241.8</v>
      </c>
    </row>
    <row r="16" spans="1:29">
      <c r="A16" s="276" t="s">
        <v>193</v>
      </c>
      <c r="B16" s="279">
        <v>5055.17</v>
      </c>
      <c r="C16" s="279">
        <v>5311.36</v>
      </c>
      <c r="D16" s="279">
        <v>5315.76</v>
      </c>
      <c r="E16" s="279">
        <v>5312.44</v>
      </c>
      <c r="F16" s="279">
        <v>5263.71</v>
      </c>
      <c r="G16" s="279">
        <v>5308.34</v>
      </c>
      <c r="H16" s="279">
        <v>5268.54</v>
      </c>
      <c r="I16" s="279">
        <v>5363.39</v>
      </c>
      <c r="J16" s="279">
        <v>5491.44</v>
      </c>
      <c r="K16" s="279">
        <v>5559.17</v>
      </c>
      <c r="L16" s="279">
        <v>5880.03</v>
      </c>
      <c r="M16" s="279">
        <v>5403.77</v>
      </c>
      <c r="N16" s="279">
        <v>5402.68</v>
      </c>
      <c r="O16" s="279">
        <v>5385.79</v>
      </c>
      <c r="P16" s="279">
        <v>4956.8599999999997</v>
      </c>
      <c r="Q16" s="279">
        <v>25970.02</v>
      </c>
      <c r="R16" s="279">
        <v>26224.28</v>
      </c>
      <c r="S16" s="279">
        <v>26365.13</v>
      </c>
      <c r="T16" s="279">
        <v>26192.51</v>
      </c>
      <c r="U16" s="279">
        <v>26507.1</v>
      </c>
      <c r="V16" s="279">
        <v>26928.04</v>
      </c>
      <c r="W16" s="279">
        <v>26730.87</v>
      </c>
      <c r="X16" s="279">
        <v>27392.01</v>
      </c>
      <c r="Y16" s="279">
        <v>26411.05</v>
      </c>
      <c r="Z16" s="279">
        <v>31132.82</v>
      </c>
    </row>
    <row r="17" spans="1:29" s="258" customFormat="1">
      <c r="A17" s="277" t="s">
        <v>194</v>
      </c>
      <c r="B17" s="280">
        <v>374715.39</v>
      </c>
      <c r="C17" s="280">
        <v>368073.57</v>
      </c>
      <c r="D17" s="280">
        <v>353797.42</v>
      </c>
      <c r="E17" s="280">
        <v>350170.39</v>
      </c>
      <c r="F17" s="280">
        <v>363733.29</v>
      </c>
      <c r="G17" s="280">
        <v>369645.89</v>
      </c>
      <c r="H17" s="280">
        <v>356520.63</v>
      </c>
      <c r="I17" s="280">
        <v>356221.48</v>
      </c>
      <c r="J17" s="280">
        <v>355783.78</v>
      </c>
      <c r="K17" s="280">
        <v>349517.31</v>
      </c>
      <c r="L17" s="280">
        <v>345370.17</v>
      </c>
      <c r="M17" s="280">
        <v>337043.66</v>
      </c>
      <c r="N17" s="280">
        <v>330433.65999999997</v>
      </c>
      <c r="O17" s="280">
        <v>326645.71999999997</v>
      </c>
      <c r="P17" s="280">
        <v>322770.38</v>
      </c>
      <c r="Q17" s="280">
        <v>454439.23</v>
      </c>
      <c r="R17" s="280">
        <v>455211.3</v>
      </c>
      <c r="S17" s="280">
        <v>438519.26</v>
      </c>
      <c r="T17" s="280">
        <v>429868.63</v>
      </c>
      <c r="U17" s="280">
        <v>431432.09</v>
      </c>
      <c r="V17" s="280">
        <v>432091.01</v>
      </c>
      <c r="W17" s="280">
        <v>411878.58</v>
      </c>
      <c r="X17" s="280">
        <v>414354.75</v>
      </c>
      <c r="Y17" s="280">
        <v>420273.2</v>
      </c>
      <c r="Z17" s="280">
        <v>461228.31</v>
      </c>
      <c r="AC17"/>
    </row>
    <row r="18" spans="1:29">
      <c r="A18" s="275" t="s">
        <v>195</v>
      </c>
      <c r="B18" s="278">
        <v>19751</v>
      </c>
      <c r="C18" s="278">
        <v>23977</v>
      </c>
      <c r="D18" s="278">
        <v>23228</v>
      </c>
      <c r="E18" s="278">
        <v>22382</v>
      </c>
      <c r="F18" s="278">
        <v>22310</v>
      </c>
      <c r="G18" s="278">
        <v>22500</v>
      </c>
      <c r="H18" s="278">
        <v>22704</v>
      </c>
      <c r="I18" s="278">
        <v>26745</v>
      </c>
      <c r="J18" s="278">
        <v>23781</v>
      </c>
      <c r="K18" s="278">
        <v>28859</v>
      </c>
      <c r="L18" s="278">
        <v>29678</v>
      </c>
      <c r="M18" s="278">
        <v>24215.34</v>
      </c>
      <c r="N18" s="278">
        <v>16782.28</v>
      </c>
      <c r="O18" s="278">
        <v>16502.87</v>
      </c>
      <c r="P18" s="278">
        <v>15555.21</v>
      </c>
      <c r="Q18" s="278">
        <v>16030.61</v>
      </c>
      <c r="R18" s="278">
        <v>15371.81</v>
      </c>
      <c r="S18" s="278">
        <v>15142.51</v>
      </c>
      <c r="T18" s="278">
        <v>16253.9</v>
      </c>
      <c r="U18" s="278">
        <v>14216.97</v>
      </c>
      <c r="V18" s="278">
        <v>13127.85</v>
      </c>
      <c r="W18" s="278">
        <v>12203.01</v>
      </c>
      <c r="X18" s="278">
        <v>15580.6</v>
      </c>
      <c r="Y18" s="278">
        <v>13766.73</v>
      </c>
      <c r="Z18" s="278">
        <v>14636.45</v>
      </c>
    </row>
    <row r="19" spans="1:29">
      <c r="A19" s="275" t="s">
        <v>196</v>
      </c>
      <c r="B19" s="278">
        <v>25569.39</v>
      </c>
      <c r="C19" s="278">
        <v>24196.28</v>
      </c>
      <c r="D19" s="278">
        <v>28847.38</v>
      </c>
      <c r="E19" s="278">
        <v>18748.37</v>
      </c>
      <c r="F19" s="278">
        <v>17204.64</v>
      </c>
      <c r="G19" s="278">
        <v>12738.4</v>
      </c>
      <c r="H19" s="278">
        <v>15094.76</v>
      </c>
      <c r="I19" s="278">
        <v>14131.68</v>
      </c>
      <c r="J19" s="278">
        <v>13152.03</v>
      </c>
      <c r="K19" s="278">
        <v>20300.48</v>
      </c>
      <c r="L19" s="278">
        <v>31375.03</v>
      </c>
      <c r="M19" s="278">
        <v>20495.77</v>
      </c>
      <c r="N19" s="278">
        <v>17307.38</v>
      </c>
      <c r="O19" s="278">
        <v>14549.07</v>
      </c>
      <c r="P19" s="278">
        <v>27059.56</v>
      </c>
      <c r="Q19" s="278">
        <v>57404.2</v>
      </c>
      <c r="R19" s="278">
        <v>54584.42</v>
      </c>
      <c r="S19" s="278">
        <v>53086.9</v>
      </c>
      <c r="T19" s="278">
        <v>55466.18</v>
      </c>
      <c r="U19" s="278">
        <v>21098.83</v>
      </c>
      <c r="V19" s="278">
        <v>19754.990000000002</v>
      </c>
      <c r="W19" s="278">
        <v>32567.74</v>
      </c>
      <c r="X19" s="278">
        <v>46874.41</v>
      </c>
      <c r="Y19" s="278">
        <v>20562.009999999998</v>
      </c>
      <c r="Z19" s="278">
        <v>20587.87</v>
      </c>
    </row>
    <row r="20" spans="1:29">
      <c r="A20" s="275" t="s">
        <v>197</v>
      </c>
      <c r="B20" s="278">
        <v>10345.26</v>
      </c>
      <c r="C20" s="278">
        <v>10370.91</v>
      </c>
      <c r="D20" s="278">
        <v>10305.93</v>
      </c>
      <c r="E20" s="278">
        <v>10212.82</v>
      </c>
      <c r="F20" s="278">
        <v>10560.62</v>
      </c>
      <c r="G20" s="278">
        <v>10497.03</v>
      </c>
      <c r="H20" s="278">
        <v>10428.629999999999</v>
      </c>
      <c r="I20" s="278">
        <v>10537.34</v>
      </c>
      <c r="J20" s="278">
        <v>10857.26</v>
      </c>
      <c r="K20" s="278">
        <v>11329.95</v>
      </c>
      <c r="L20" s="278">
        <v>11308.35</v>
      </c>
      <c r="M20" s="278">
        <v>11135.48</v>
      </c>
      <c r="N20" s="278">
        <v>11411.38</v>
      </c>
      <c r="O20" s="278">
        <v>11225.04</v>
      </c>
      <c r="P20" s="278">
        <v>11285.02</v>
      </c>
      <c r="Q20" s="278">
        <v>15061.59</v>
      </c>
      <c r="R20" s="278">
        <v>15933.03</v>
      </c>
      <c r="S20" s="278">
        <v>15955.2</v>
      </c>
      <c r="T20" s="278">
        <v>15587.31</v>
      </c>
      <c r="U20" s="278">
        <v>14804.93</v>
      </c>
      <c r="V20" s="278">
        <v>14120.62</v>
      </c>
      <c r="W20" s="278">
        <v>13320.73</v>
      </c>
      <c r="X20" s="278">
        <v>13190.95</v>
      </c>
      <c r="Y20" s="278">
        <v>13371.95</v>
      </c>
      <c r="Z20" s="278">
        <v>13580</v>
      </c>
    </row>
    <row r="21" spans="1:29">
      <c r="A21" s="275" t="s">
        <v>198</v>
      </c>
      <c r="B21" s="278">
        <v>5248.42</v>
      </c>
      <c r="C21" s="278">
        <v>5248.42</v>
      </c>
      <c r="D21" s="278">
        <v>5248.42</v>
      </c>
      <c r="E21" s="278">
        <v>5248.42</v>
      </c>
      <c r="F21" s="278">
        <v>5248.42</v>
      </c>
      <c r="G21" s="278">
        <v>5248.42</v>
      </c>
      <c r="H21" s="278">
        <v>3360.88</v>
      </c>
      <c r="I21" s="278">
        <v>3360.88</v>
      </c>
      <c r="J21" s="278">
        <v>3360.88</v>
      </c>
      <c r="K21" s="278">
        <v>3360.88</v>
      </c>
      <c r="L21" s="278">
        <v>3360.88</v>
      </c>
      <c r="M21" s="278">
        <v>3360.88</v>
      </c>
      <c r="N21" s="278">
        <v>3360.88</v>
      </c>
      <c r="O21" s="278">
        <v>3360.88</v>
      </c>
      <c r="P21" s="278">
        <v>3360.88</v>
      </c>
      <c r="Q21" s="278">
        <v>3360.88</v>
      </c>
      <c r="R21" s="278">
        <v>3360.88</v>
      </c>
      <c r="S21" s="278">
        <v>3360.88</v>
      </c>
      <c r="T21" s="278">
        <v>3360.88</v>
      </c>
      <c r="U21" s="278">
        <v>3360.88</v>
      </c>
      <c r="V21" s="278">
        <v>3360.88</v>
      </c>
      <c r="W21" s="278">
        <v>3360.88</v>
      </c>
      <c r="X21" s="278">
        <v>3360.88</v>
      </c>
      <c r="Y21" s="278">
        <v>3360.88</v>
      </c>
      <c r="Z21" s="278">
        <v>3360.88</v>
      </c>
    </row>
    <row r="22" spans="1:29">
      <c r="A22" s="275" t="s">
        <v>199</v>
      </c>
      <c r="B22" s="278">
        <v>24651.11</v>
      </c>
      <c r="C22" s="278">
        <v>24813.19</v>
      </c>
      <c r="D22" s="278">
        <v>10475.34</v>
      </c>
      <c r="E22" s="278">
        <v>10538.02</v>
      </c>
      <c r="F22" s="278">
        <v>12321.72</v>
      </c>
      <c r="G22" s="278">
        <v>14082.8</v>
      </c>
      <c r="H22" s="278">
        <v>13958.03</v>
      </c>
      <c r="I22" s="278">
        <v>10903.22</v>
      </c>
      <c r="J22" s="278">
        <v>10892.58</v>
      </c>
      <c r="K22" s="278">
        <v>10965.99</v>
      </c>
      <c r="L22" s="278">
        <v>10830.28</v>
      </c>
      <c r="M22" s="278">
        <v>10903.22</v>
      </c>
      <c r="N22" s="278">
        <v>10927.96</v>
      </c>
      <c r="O22" s="278">
        <v>10962.79</v>
      </c>
      <c r="P22" s="278">
        <v>10827.06</v>
      </c>
      <c r="Q22" s="278">
        <v>12599.05</v>
      </c>
      <c r="R22" s="278">
        <v>15514.48</v>
      </c>
      <c r="S22" s="278">
        <v>15524.46</v>
      </c>
      <c r="T22" s="278">
        <v>15419.08</v>
      </c>
      <c r="U22" s="278">
        <v>15522.46</v>
      </c>
      <c r="V22" s="278">
        <v>15514.51</v>
      </c>
      <c r="W22" s="278">
        <v>15524.38</v>
      </c>
      <c r="X22" s="278">
        <v>8027.93</v>
      </c>
      <c r="Y22" s="278">
        <v>8079.48</v>
      </c>
      <c r="Z22" s="278">
        <v>8019.31</v>
      </c>
    </row>
    <row r="23" spans="1:29">
      <c r="A23" s="276" t="s">
        <v>200</v>
      </c>
      <c r="B23" s="279">
        <v>40015.269999999997</v>
      </c>
      <c r="C23" s="279">
        <v>26531.62</v>
      </c>
      <c r="D23" s="279">
        <v>24783.67</v>
      </c>
      <c r="E23" s="279">
        <v>26684.13</v>
      </c>
      <c r="F23" s="279">
        <v>38633.57</v>
      </c>
      <c r="G23" s="279">
        <v>25803.279999999999</v>
      </c>
      <c r="H23" s="279">
        <v>27842.43</v>
      </c>
      <c r="I23" s="279">
        <v>26189.75</v>
      </c>
      <c r="J23" s="279">
        <v>40043.949999999997</v>
      </c>
      <c r="K23" s="279">
        <v>23602.26</v>
      </c>
      <c r="L23" s="279">
        <v>24098.44</v>
      </c>
      <c r="M23" s="279">
        <v>26230.51</v>
      </c>
      <c r="N23" s="279">
        <v>39536.39</v>
      </c>
      <c r="O23" s="279">
        <v>22183.53</v>
      </c>
      <c r="P23" s="279">
        <v>22959.23</v>
      </c>
      <c r="Q23" s="279">
        <v>29190.23</v>
      </c>
      <c r="R23" s="279">
        <v>45128.62</v>
      </c>
      <c r="S23" s="279">
        <v>28080.33</v>
      </c>
      <c r="T23" s="279">
        <v>31081.3</v>
      </c>
      <c r="U23" s="279">
        <v>34545.870000000003</v>
      </c>
      <c r="V23" s="279">
        <v>54401.66</v>
      </c>
      <c r="W23" s="279">
        <v>33843.21</v>
      </c>
      <c r="X23" s="279">
        <v>35616.160000000003</v>
      </c>
      <c r="Y23" s="279">
        <v>43037.05</v>
      </c>
      <c r="Z23" s="279">
        <v>45772.34</v>
      </c>
    </row>
    <row r="24" spans="1:29" s="258" customFormat="1">
      <c r="A24" s="277" t="s">
        <v>201</v>
      </c>
      <c r="B24" s="280">
        <v>125580.63</v>
      </c>
      <c r="C24" s="280">
        <v>115136.99</v>
      </c>
      <c r="D24" s="280">
        <v>102888.67</v>
      </c>
      <c r="E24" s="280">
        <v>93813.42</v>
      </c>
      <c r="F24" s="280">
        <v>106279.07</v>
      </c>
      <c r="G24" s="280">
        <v>90870.38</v>
      </c>
      <c r="H24" s="280">
        <v>93388.79</v>
      </c>
      <c r="I24" s="280">
        <v>91868.29</v>
      </c>
      <c r="J24" s="280">
        <v>102087.85</v>
      </c>
      <c r="K24" s="280">
        <v>98418.7</v>
      </c>
      <c r="L24" s="280">
        <v>110150.08</v>
      </c>
      <c r="M24" s="280">
        <v>96341.19</v>
      </c>
      <c r="N24" s="280">
        <v>99326.26</v>
      </c>
      <c r="O24" s="280">
        <v>78784.179999999993</v>
      </c>
      <c r="P24" s="280">
        <v>91046.96</v>
      </c>
      <c r="Q24" s="280">
        <v>133646.54999999999</v>
      </c>
      <c r="R24" s="280">
        <v>149893.23000000001</v>
      </c>
      <c r="S24" s="280">
        <v>131150.26999999999</v>
      </c>
      <c r="T24" s="280">
        <v>137168.65</v>
      </c>
      <c r="U24" s="280">
        <v>103549.94</v>
      </c>
      <c r="V24" s="280">
        <v>120280.52</v>
      </c>
      <c r="W24" s="280">
        <v>110819.95</v>
      </c>
      <c r="X24" s="280">
        <v>122650.93</v>
      </c>
      <c r="Y24" s="280">
        <v>102178.1</v>
      </c>
      <c r="Z24" s="280">
        <v>105956.85</v>
      </c>
      <c r="AC24"/>
    </row>
    <row r="25" spans="1:29">
      <c r="A25" s="275" t="s">
        <v>202</v>
      </c>
      <c r="B25" s="278">
        <v>68397.289999999994</v>
      </c>
      <c r="C25" s="278">
        <v>66660.13</v>
      </c>
      <c r="D25" s="278">
        <v>76512.98</v>
      </c>
      <c r="E25" s="278">
        <v>79301.19</v>
      </c>
      <c r="F25" s="278">
        <v>77198.070000000007</v>
      </c>
      <c r="G25" s="278">
        <v>80897.710000000006</v>
      </c>
      <c r="H25" s="278">
        <v>77971.259999999995</v>
      </c>
      <c r="I25" s="278">
        <v>73696.570000000007</v>
      </c>
      <c r="J25" s="278">
        <v>72576.929999999993</v>
      </c>
      <c r="K25" s="278">
        <v>66890.460000000006</v>
      </c>
      <c r="L25" s="278">
        <v>64316.480000000003</v>
      </c>
      <c r="M25" s="278">
        <v>63914.17</v>
      </c>
      <c r="N25" s="278">
        <v>63482.96</v>
      </c>
      <c r="O25" s="278">
        <v>76332.490000000005</v>
      </c>
      <c r="P25" s="278">
        <v>72742.84</v>
      </c>
      <c r="Q25" s="278">
        <v>69840.210000000006</v>
      </c>
      <c r="R25" s="278">
        <v>65873.66</v>
      </c>
      <c r="S25" s="278">
        <v>62750.38</v>
      </c>
      <c r="T25" s="278">
        <v>61283.26</v>
      </c>
      <c r="U25" s="278">
        <v>87721.74</v>
      </c>
      <c r="V25" s="278">
        <v>85040.16</v>
      </c>
      <c r="W25" s="278">
        <v>68883.53</v>
      </c>
      <c r="X25" s="278">
        <v>63651.519999999997</v>
      </c>
      <c r="Y25" s="278">
        <v>77989.009999999995</v>
      </c>
      <c r="Z25" s="278">
        <v>109021.99</v>
      </c>
    </row>
    <row r="26" spans="1:29">
      <c r="A26" s="275" t="s">
        <v>203</v>
      </c>
      <c r="B26" s="278">
        <v>53918.03</v>
      </c>
      <c r="C26" s="278">
        <v>51911.44</v>
      </c>
      <c r="D26" s="278">
        <v>50016.65</v>
      </c>
      <c r="E26" s="278">
        <v>48150.5</v>
      </c>
      <c r="F26" s="278">
        <v>46435.42</v>
      </c>
      <c r="G26" s="278">
        <v>44361.34</v>
      </c>
      <c r="H26" s="278">
        <v>42417.66</v>
      </c>
      <c r="I26" s="278">
        <v>40597.300000000003</v>
      </c>
      <c r="J26" s="278">
        <v>38698.620000000003</v>
      </c>
      <c r="K26" s="278">
        <v>36724.32</v>
      </c>
      <c r="L26" s="278">
        <v>34605.97</v>
      </c>
      <c r="M26" s="278">
        <v>32871.21</v>
      </c>
      <c r="N26" s="278">
        <v>31074.01</v>
      </c>
      <c r="O26" s="278">
        <v>29110.03</v>
      </c>
      <c r="P26" s="278">
        <v>27291.81</v>
      </c>
      <c r="Q26" s="278">
        <v>100077.43</v>
      </c>
      <c r="R26" s="278">
        <v>96984.72</v>
      </c>
      <c r="S26" s="278">
        <v>94178.89</v>
      </c>
      <c r="T26" s="278">
        <v>92139.31</v>
      </c>
      <c r="U26" s="278">
        <v>90004.479999999996</v>
      </c>
      <c r="V26" s="278">
        <v>87636.2</v>
      </c>
      <c r="W26" s="278">
        <v>85299.11</v>
      </c>
      <c r="X26" s="278">
        <v>82799.850000000006</v>
      </c>
      <c r="Y26" s="278">
        <v>80291.259999999995</v>
      </c>
      <c r="Z26" s="278">
        <v>77686.7</v>
      </c>
    </row>
    <row r="27" spans="1:29">
      <c r="A27" s="275" t="s">
        <v>204</v>
      </c>
      <c r="B27" s="278">
        <v>52429.26</v>
      </c>
      <c r="C27" s="278">
        <v>52766.96</v>
      </c>
      <c r="D27" s="278">
        <v>45759.29</v>
      </c>
      <c r="E27" s="278">
        <v>42911.01</v>
      </c>
      <c r="F27" s="278">
        <v>55455.26</v>
      </c>
      <c r="G27" s="278">
        <v>67985.320000000007</v>
      </c>
      <c r="H27" s="278">
        <v>61029.45</v>
      </c>
      <c r="I27" s="278">
        <v>61415.65</v>
      </c>
      <c r="J27" s="278">
        <v>60122.34</v>
      </c>
      <c r="K27" s="278">
        <v>58780.53</v>
      </c>
      <c r="L27" s="278">
        <v>51762.12</v>
      </c>
      <c r="M27" s="278">
        <v>52085.35</v>
      </c>
      <c r="N27" s="278">
        <v>50693.26</v>
      </c>
      <c r="O27" s="278">
        <v>49326.2</v>
      </c>
      <c r="P27" s="278">
        <v>42243.54</v>
      </c>
      <c r="Q27" s="278">
        <v>51609.89</v>
      </c>
      <c r="R27" s="278">
        <v>47350.61</v>
      </c>
      <c r="S27" s="278">
        <v>44305.52</v>
      </c>
      <c r="T27" s="278">
        <v>37203.199999999997</v>
      </c>
      <c r="U27" s="278">
        <v>37441.54</v>
      </c>
      <c r="V27" s="278">
        <v>33085.589999999997</v>
      </c>
      <c r="W27" s="278">
        <v>29944.78</v>
      </c>
      <c r="X27" s="278">
        <v>36877.68</v>
      </c>
      <c r="Y27" s="278">
        <v>37122</v>
      </c>
      <c r="Z27" s="278">
        <v>32770.82</v>
      </c>
    </row>
    <row r="28" spans="1:29">
      <c r="A28" s="276" t="s">
        <v>205</v>
      </c>
      <c r="B28" s="279">
        <v>9618.82</v>
      </c>
      <c r="C28" s="279">
        <v>9902.0499999999993</v>
      </c>
      <c r="D28" s="279">
        <v>9993.26</v>
      </c>
      <c r="E28" s="279">
        <v>10305.09</v>
      </c>
      <c r="F28" s="279">
        <v>6708.17</v>
      </c>
      <c r="G28" s="279">
        <v>6860.96</v>
      </c>
      <c r="H28" s="279">
        <v>6870.77</v>
      </c>
      <c r="I28" s="279">
        <v>6819.44</v>
      </c>
      <c r="J28" s="279">
        <v>6560.7</v>
      </c>
      <c r="K28" s="279">
        <v>6301.76</v>
      </c>
      <c r="L28" s="279">
        <v>6321.14</v>
      </c>
      <c r="M28" s="279">
        <v>6015.38</v>
      </c>
      <c r="N28" s="279">
        <v>5890.63</v>
      </c>
      <c r="O28" s="279">
        <v>5910.27</v>
      </c>
      <c r="P28" s="279">
        <v>5959.13</v>
      </c>
      <c r="Q28" s="279">
        <v>8586.93</v>
      </c>
      <c r="R28" s="279">
        <v>9721.4</v>
      </c>
      <c r="S28" s="279">
        <v>12131.05</v>
      </c>
      <c r="T28" s="279">
        <v>13795.74</v>
      </c>
      <c r="U28" s="279">
        <v>15390.51</v>
      </c>
      <c r="V28" s="279">
        <v>15237.51</v>
      </c>
      <c r="W28" s="279">
        <v>15147.77</v>
      </c>
      <c r="X28" s="279">
        <v>15049.1</v>
      </c>
      <c r="Y28" s="279">
        <v>15412.47</v>
      </c>
      <c r="Z28" s="279">
        <v>15214</v>
      </c>
    </row>
    <row r="29" spans="1:29" s="258" customFormat="1">
      <c r="A29" s="277" t="s">
        <v>206</v>
      </c>
      <c r="B29" s="280">
        <v>309944.03000000003</v>
      </c>
      <c r="C29" s="280">
        <v>296377.57</v>
      </c>
      <c r="D29" s="280">
        <v>285170.84999999998</v>
      </c>
      <c r="E29" s="280">
        <v>274481.21000000002</v>
      </c>
      <c r="F29" s="280">
        <v>292075.99</v>
      </c>
      <c r="G29" s="280">
        <v>290975.7</v>
      </c>
      <c r="H29" s="280">
        <v>281677.93</v>
      </c>
      <c r="I29" s="280">
        <v>274397.24</v>
      </c>
      <c r="J29" s="280">
        <v>280046.43</v>
      </c>
      <c r="K29" s="280">
        <v>267115.76</v>
      </c>
      <c r="L29" s="280">
        <v>267155.78999999998</v>
      </c>
      <c r="M29" s="280">
        <v>251227.31</v>
      </c>
      <c r="N29" s="280">
        <v>250467.11</v>
      </c>
      <c r="O29" s="280">
        <v>239463.17</v>
      </c>
      <c r="P29" s="280">
        <v>239284.27</v>
      </c>
      <c r="Q29" s="280">
        <v>363761.01</v>
      </c>
      <c r="R29" s="280">
        <v>369823.62</v>
      </c>
      <c r="S29" s="280">
        <v>344516.1</v>
      </c>
      <c r="T29" s="280">
        <v>341590.16</v>
      </c>
      <c r="U29" s="280">
        <v>334108.2</v>
      </c>
      <c r="V29" s="280">
        <v>341279.97</v>
      </c>
      <c r="W29" s="280">
        <v>310095.14</v>
      </c>
      <c r="X29" s="280">
        <v>321029.09000000003</v>
      </c>
      <c r="Y29" s="280">
        <v>312992.84000000003</v>
      </c>
      <c r="Z29" s="280">
        <v>340650.37</v>
      </c>
      <c r="AC29"/>
    </row>
    <row r="30" spans="1:29">
      <c r="A30" s="275" t="s">
        <v>207</v>
      </c>
      <c r="B30" s="278">
        <v>40427.410000000003</v>
      </c>
      <c r="C30" s="278">
        <v>47429.24</v>
      </c>
      <c r="D30" s="278">
        <v>44307.89</v>
      </c>
      <c r="E30" s="278">
        <v>51382.43</v>
      </c>
      <c r="F30" s="278">
        <v>47084.23</v>
      </c>
      <c r="G30" s="278">
        <v>54125.04</v>
      </c>
      <c r="H30" s="278">
        <v>50239.14</v>
      </c>
      <c r="I30" s="278">
        <v>57102.52</v>
      </c>
      <c r="J30" s="278">
        <v>50803.96</v>
      </c>
      <c r="K30" s="278">
        <v>57109.11</v>
      </c>
      <c r="L30" s="278">
        <v>52880.35</v>
      </c>
      <c r="M30" s="278">
        <v>60675.5</v>
      </c>
      <c r="N30" s="278">
        <v>54821.8</v>
      </c>
      <c r="O30" s="278">
        <v>62002.02</v>
      </c>
      <c r="P30" s="278">
        <v>58251.77</v>
      </c>
      <c r="Q30" s="278">
        <v>65514.94</v>
      </c>
      <c r="R30" s="278">
        <v>60256.72</v>
      </c>
      <c r="S30" s="278">
        <v>68833.98</v>
      </c>
      <c r="T30" s="278">
        <v>63138.3</v>
      </c>
      <c r="U30" s="278">
        <v>72196.87</v>
      </c>
      <c r="V30" s="278">
        <v>65709.73</v>
      </c>
      <c r="W30" s="278">
        <v>76691.61</v>
      </c>
      <c r="X30" s="278">
        <v>68239.649999999994</v>
      </c>
      <c r="Y30" s="278">
        <v>82182.740000000005</v>
      </c>
      <c r="Z30" s="278">
        <v>95678.24</v>
      </c>
    </row>
    <row r="31" spans="1:29">
      <c r="A31" s="276" t="s">
        <v>208</v>
      </c>
      <c r="B31" s="279">
        <v>24344.3</v>
      </c>
      <c r="C31" s="279">
        <v>24267.23</v>
      </c>
      <c r="D31" s="279">
        <v>24318.68</v>
      </c>
      <c r="E31" s="279">
        <v>24306.94</v>
      </c>
      <c r="F31" s="279">
        <v>24573.1</v>
      </c>
      <c r="G31" s="279">
        <v>24545.27</v>
      </c>
      <c r="H31" s="279">
        <v>24603.73</v>
      </c>
      <c r="I31" s="279">
        <v>24722.01</v>
      </c>
      <c r="J31" s="279">
        <v>24933.05</v>
      </c>
      <c r="K31" s="279">
        <v>25292.41</v>
      </c>
      <c r="L31" s="279">
        <v>25333.25</v>
      </c>
      <c r="M31" s="279">
        <v>25140.86</v>
      </c>
      <c r="N31" s="279">
        <v>25144.74</v>
      </c>
      <c r="O31" s="279">
        <v>25180.53</v>
      </c>
      <c r="P31" s="279">
        <v>25234.34</v>
      </c>
      <c r="Q31" s="279">
        <v>25163.27</v>
      </c>
      <c r="R31" s="279">
        <v>25130.959999999999</v>
      </c>
      <c r="S31" s="279">
        <v>25169.18</v>
      </c>
      <c r="T31" s="279">
        <v>25140.18</v>
      </c>
      <c r="U31" s="279">
        <v>25127.02</v>
      </c>
      <c r="V31" s="279">
        <v>25101.31</v>
      </c>
      <c r="W31" s="279">
        <v>25091.83</v>
      </c>
      <c r="X31" s="279">
        <v>25086.01</v>
      </c>
      <c r="Y31" s="392">
        <v>25097.62</v>
      </c>
      <c r="Z31" s="392">
        <v>24899.32</v>
      </c>
    </row>
    <row r="32" spans="1:29" s="258" customFormat="1">
      <c r="A32" s="277" t="s">
        <v>209</v>
      </c>
      <c r="B32" s="280">
        <v>64771.71</v>
      </c>
      <c r="C32" s="280">
        <v>71696.47</v>
      </c>
      <c r="D32" s="280">
        <v>68626.570000000007</v>
      </c>
      <c r="E32" s="280">
        <v>75689.37</v>
      </c>
      <c r="F32" s="280">
        <v>71657.320000000007</v>
      </c>
      <c r="G32" s="280">
        <v>78670.31</v>
      </c>
      <c r="H32" s="280">
        <v>74842.87</v>
      </c>
      <c r="I32" s="280">
        <v>81824.52</v>
      </c>
      <c r="J32" s="280">
        <v>75737.009999999995</v>
      </c>
      <c r="K32" s="280">
        <v>82401.52</v>
      </c>
      <c r="L32" s="280">
        <v>78213.600000000006</v>
      </c>
      <c r="M32" s="280">
        <v>85816.35</v>
      </c>
      <c r="N32" s="280">
        <v>79966.539999999994</v>
      </c>
      <c r="O32" s="280">
        <v>87182.56</v>
      </c>
      <c r="P32" s="280">
        <v>83486.11</v>
      </c>
      <c r="Q32" s="280">
        <v>90678.21</v>
      </c>
      <c r="R32" s="280">
        <v>85387.68</v>
      </c>
      <c r="S32" s="280">
        <v>94003.16</v>
      </c>
      <c r="T32" s="280">
        <v>88278.48</v>
      </c>
      <c r="U32" s="280">
        <v>97323.89</v>
      </c>
      <c r="V32" s="280">
        <v>90811.04</v>
      </c>
      <c r="W32" s="280">
        <v>101783.44</v>
      </c>
      <c r="X32" s="280">
        <v>93325.67</v>
      </c>
      <c r="Y32" s="280">
        <v>107280.36</v>
      </c>
      <c r="Z32" s="280">
        <v>120577.56</v>
      </c>
      <c r="AC32"/>
    </row>
    <row r="33" spans="1:57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spans="1:57">
      <c r="A34" s="178"/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</row>
    <row r="35" spans="1:57">
      <c r="A35" s="63" t="s">
        <v>129</v>
      </c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</row>
    <row r="36" spans="1:57">
      <c r="A36" s="63" t="s">
        <v>130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</row>
    <row r="37" spans="1:57">
      <c r="A37" s="166" t="s">
        <v>131</v>
      </c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</row>
    <row r="38" spans="1:57">
      <c r="A38" s="87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</row>
    <row r="39" spans="1:57">
      <c r="A39" s="216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</row>
    <row r="40" spans="1:57">
      <c r="A40" s="10" t="s">
        <v>52</v>
      </c>
      <c r="B40" s="13"/>
      <c r="C40" s="13"/>
      <c r="D40" s="13"/>
      <c r="E40" s="11"/>
      <c r="F40" s="13"/>
      <c r="G40" s="13"/>
      <c r="H40" s="13"/>
      <c r="I40" s="11"/>
      <c r="J40" s="13"/>
      <c r="K40" s="13"/>
      <c r="L40" s="13"/>
      <c r="M40" s="1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</row>
    <row r="41" spans="1:57">
      <c r="A41" s="178"/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374"/>
      <c r="Z41" s="374"/>
    </row>
    <row r="42" spans="1:57">
      <c r="A42" s="178"/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</row>
    <row r="43" spans="1:57">
      <c r="A43" s="178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</row>
    <row r="44" spans="1:57">
      <c r="A44" s="178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</row>
    <row r="45" spans="1:57">
      <c r="A45" s="178"/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</row>
    <row r="46" spans="1:57">
      <c r="A46" s="178"/>
      <c r="B46" s="374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</row>
    <row r="47" spans="1:57">
      <c r="A47" s="178"/>
      <c r="B47" s="374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</row>
    <row r="48" spans="1:57">
      <c r="A48" s="178"/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</row>
    <row r="49" spans="1:26">
      <c r="A49" s="178"/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</row>
    <row r="50" spans="1:26">
      <c r="A50" s="178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</row>
    <row r="51" spans="1:26">
      <c r="A51" s="178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</row>
    <row r="52" spans="1:26">
      <c r="A52" s="178"/>
      <c r="B52" s="374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</row>
    <row r="53" spans="1:26">
      <c r="A53" s="178"/>
      <c r="B53" s="374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</row>
    <row r="54" spans="1:26">
      <c r="A54" s="178"/>
      <c r="B54" s="374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</row>
    <row r="55" spans="1:26">
      <c r="A55" s="178"/>
      <c r="B55" s="374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</row>
    <row r="56" spans="1:26">
      <c r="A56" s="178"/>
      <c r="B56" s="374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</row>
    <row r="57" spans="1:26">
      <c r="A57" s="178"/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</row>
    <row r="58" spans="1:26">
      <c r="A58" s="178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</row>
    <row r="59" spans="1:26">
      <c r="A59" s="178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</row>
    <row r="60" spans="1:26">
      <c r="A60" s="178"/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</row>
    <row r="61" spans="1:26">
      <c r="A61" s="178"/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</row>
    <row r="62" spans="1:26">
      <c r="A62" s="178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</row>
    <row r="63" spans="1:26">
      <c r="A63" s="178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</row>
    <row r="64" spans="1:26">
      <c r="A64" s="178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</row>
    <row r="65" spans="1:26">
      <c r="A65" s="178"/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</row>
    <row r="66" spans="1:26">
      <c r="A66" s="178"/>
      <c r="B66" s="374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</row>
    <row r="67" spans="1:26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spans="1:26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spans="1:26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spans="1:26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spans="1:26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spans="1:26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spans="1:26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spans="1:26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spans="1:26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spans="1:2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spans="1:26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spans="1:26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spans="1:26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spans="1:26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spans="1:26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spans="1:26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spans="1:26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spans="1:26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spans="1:26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spans="1:2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spans="1:26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spans="1:26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spans="1:26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spans="1:26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spans="1:26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spans="1:26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spans="1:26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spans="1:26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spans="1:26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spans="1:2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spans="1:26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spans="1:26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spans="1:26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spans="1:26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spans="1:26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spans="1:26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spans="1:26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spans="1:26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spans="1:26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spans="1:2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spans="1:26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spans="1:26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spans="1:26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spans="1:26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spans="1:26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spans="1:26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spans="1:26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spans="1:26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spans="1:26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spans="1:2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spans="1:26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spans="1:26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spans="1:26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spans="1:26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spans="1:26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spans="1:26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spans="1:26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spans="1:26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spans="1:26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spans="1: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spans="1:26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spans="1:26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spans="1:26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spans="1:26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spans="1:26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spans="1:26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spans="1:26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spans="1:26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spans="1:26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spans="1:2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spans="1:26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spans="1:26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spans="1:26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spans="1:26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spans="1:26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spans="1:26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spans="1:26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spans="1:26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spans="1:26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spans="1:2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spans="1:26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spans="1:26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spans="1:26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spans="1:26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spans="1:26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spans="1:26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spans="1:26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spans="1:26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spans="1:26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spans="1:2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spans="1:26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spans="1:26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spans="1:26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spans="1:26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spans="1:26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spans="1:26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spans="1:26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spans="1:26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spans="1:26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spans="1:2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spans="1:26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spans="1:26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spans="1:26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spans="1:26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spans="1:26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spans="1:26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spans="1:26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spans="1:26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spans="1:26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spans="1:2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spans="1:26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spans="1:26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spans="1:26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spans="1:26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spans="1:26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spans="1:26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spans="1:26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spans="1:26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spans="1:26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spans="1:2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spans="1:26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spans="1:26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spans="1:26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spans="1:26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spans="1:26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spans="1:26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spans="1:26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spans="1:26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spans="1:26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spans="1:2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spans="1:26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spans="1:26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spans="1:26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spans="1:26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spans="1:26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spans="1:26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spans="1:26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spans="1:26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spans="1:26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spans="1:2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spans="1:26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spans="1:26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spans="1:26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spans="1:26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spans="1:26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spans="1:26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spans="1:26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spans="1:26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spans="1:26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spans="1:2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spans="1:26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spans="1:26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spans="1:26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spans="1:26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spans="1:26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 spans="1:26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 spans="1:26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 spans="1:26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 spans="1:26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 spans="1: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 spans="1:26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 spans="1:26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 spans="1:26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 spans="1:26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 spans="1:26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 spans="1:26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 spans="1:26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 spans="1:26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 spans="1:26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 spans="1:2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 spans="1:26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 spans="1:26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 spans="1:26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 spans="1:26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 spans="1:26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 spans="1:26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 spans="1:26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 spans="1:26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 spans="1:26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 spans="1:2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 spans="1:26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 spans="1:26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 spans="1:26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 spans="1:26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 spans="1:26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 spans="1:26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 spans="1:26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 spans="1:26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 spans="1:26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 spans="1:2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 spans="1:26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 spans="1:26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 spans="1:26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 spans="1:26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 spans="1:26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 spans="1:26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 spans="1:26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 spans="1:26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 spans="1:26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 spans="1:2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 spans="1:26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 spans="1:26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 spans="1:26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 spans="1:26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 spans="1:26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 spans="1:26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 spans="1:26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 spans="1:26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 spans="1:26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 spans="1:2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 spans="1:26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 spans="1:26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 spans="1:26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 spans="1:26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 spans="1:26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 spans="1:26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 spans="1:26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spans="1:26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spans="1:26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spans="1:2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spans="1:26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spans="1:26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spans="1:26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spans="1:26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spans="1:26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spans="1:26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spans="1:26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spans="1:26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spans="1:26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spans="1:2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spans="1:26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spans="1:26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spans="1:26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spans="1:26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spans="1:26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spans="1:26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spans="1:26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spans="1:26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spans="1:26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spans="1:2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spans="1:26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spans="1:26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spans="1:26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spans="1:26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spans="1:26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spans="1:26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spans="1:26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spans="1:26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spans="1:26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spans="1:2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spans="1:26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spans="1:26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spans="1:26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spans="1:26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 spans="1:26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 spans="1:26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 spans="1:26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 spans="1:26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 spans="1:26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 spans="1: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 spans="1:26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 spans="1:26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 spans="1:26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 spans="1:26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 spans="1:26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 spans="1:26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 spans="1:26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 spans="1:26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 spans="1:26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 spans="1:2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 spans="1:26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 spans="1:26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 spans="1:26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 spans="1:26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 spans="1:26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 spans="1:26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 spans="1:26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 spans="1:26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 spans="1:26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 spans="1:2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 spans="1:26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 spans="1:26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 spans="1:26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 spans="1:26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 spans="1:26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 spans="1:26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 spans="1:26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 spans="1:26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 spans="1:26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 spans="1:2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 spans="1:26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 spans="1:26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 spans="1:26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 spans="1:26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 spans="1:26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 spans="1:26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 spans="1:26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 spans="1:26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 spans="1:26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 spans="1:2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 spans="1:26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 spans="1:26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 spans="1:26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 spans="1:26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 spans="1:26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 spans="1:26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 spans="1:26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 spans="1:26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 spans="1:26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 spans="1:2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 spans="1:26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 spans="1:26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 spans="1:26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 spans="1:26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 spans="1:26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 spans="1:26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 spans="1:26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 spans="1:26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 spans="1:26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 spans="1:2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 spans="1:26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 spans="1:26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 spans="1:26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 spans="1:26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 spans="1:26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 spans="1:26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 spans="1:26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 spans="1:26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 spans="1:26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 spans="1:2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 spans="1:26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 spans="1:26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 spans="1:26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 spans="1:26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 spans="1:26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 spans="1:26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 spans="1:26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 spans="1:26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 spans="1:26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 spans="1:2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 spans="1:26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 spans="1:26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 spans="1:26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 spans="1:26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 spans="1:26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 spans="1:26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 spans="1:26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 spans="1:26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 spans="1:26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 spans="1:2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 spans="1:26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 spans="1:26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 spans="1:26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 spans="1:26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 spans="1:26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 spans="1:26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 spans="1:26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 spans="1:26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 spans="1:26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 spans="1: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 spans="1:26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 spans="1:26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 spans="1:26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 spans="1:26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 spans="1:26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 spans="1:26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 spans="1:26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 spans="1:26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 spans="1:26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 spans="1:2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 spans="1:26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 spans="1:26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 spans="1:26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 spans="1:26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 spans="1:26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 spans="1:26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 spans="1:26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 spans="1:26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 spans="1:26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 spans="1:2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 spans="1:26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 spans="1:26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 spans="1:26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 spans="1:26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 spans="1:26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 spans="1:26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 spans="1:26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 spans="1:26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 spans="1:26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 spans="1:2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 spans="1:26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 spans="1:26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 spans="1:26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 spans="1:26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 spans="1:26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 spans="1:26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 spans="1:26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 spans="1:26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 spans="1:26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 spans="1:2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 spans="1:26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 spans="1:26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 spans="1:26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 spans="1:26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 spans="1:26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 spans="1:26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 spans="1:26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 spans="1:26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 spans="1:26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 spans="1:2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 spans="1:26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 spans="1:26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 spans="1:26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 spans="1:26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 spans="1:26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 spans="1:26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 spans="1:26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 spans="1:26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 spans="1:26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 spans="1:2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 spans="1:26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 spans="1:26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 spans="1:26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 spans="1:26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 spans="1:26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 spans="1:26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 spans="1:26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 spans="1:26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 spans="1:26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 spans="1:2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 spans="1:26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 spans="1:26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 spans="1:26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 spans="1:26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 spans="1:26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 spans="1:26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 spans="1:26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 spans="1:26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 spans="1:26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 spans="1:2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 spans="1:26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 spans="1:26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 spans="1:26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 spans="1:26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 spans="1:26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 spans="1:26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 spans="1:26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 spans="1:26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 spans="1:26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 spans="1:2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 spans="1:26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 spans="1:26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 spans="1:26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 spans="1:26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 spans="1:26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 spans="1:26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 spans="1:26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 spans="1:26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 spans="1:26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 spans="1: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 spans="1:26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 spans="1:26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 spans="1:26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 spans="1:26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 spans="1:26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 spans="1:26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 spans="1:26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 spans="1:26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 spans="1:26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 spans="1:2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 spans="1:26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 spans="1:26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 spans="1:26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 spans="1:26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 spans="1:26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 spans="1:26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 spans="1:26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 spans="1:26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 spans="1:26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 spans="1:2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 spans="1:26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 spans="1:26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 spans="1:26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 spans="1:26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 spans="1:26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 spans="1:26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 spans="1:26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 spans="1:26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 spans="1:26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 spans="1:2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 spans="1:26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 spans="1:26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 spans="1:26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 spans="1:26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 spans="1:26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 spans="1:26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 spans="1:26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 spans="1:26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 spans="1:26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 spans="1:2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 spans="1:26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 spans="1:26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 spans="1:26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 spans="1:26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 spans="1:26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 spans="1:26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 spans="1:26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 spans="1:26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 spans="1:26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 spans="1:2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 spans="1:26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 spans="1:26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 spans="1:26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 spans="1:26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 spans="1:26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 spans="1:26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 spans="1:26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 spans="1:26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 spans="1:26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 spans="1:2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 spans="1:26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 spans="1:26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 spans="1:26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 spans="1:26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 spans="1:26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 spans="1:26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 spans="1:26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 spans="1:26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 spans="1:26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 spans="1:2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 spans="1:26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 spans="1:26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 spans="1:26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 spans="1:26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 spans="1:26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 spans="1:26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</sheetData>
  <phoneticPr fontId="45" type="noConversion"/>
  <hyperlinks>
    <hyperlink ref="A37" r:id="rId1" xr:uid="{B5A69EAB-B63D-4D52-A986-911C9B1EA70A}"/>
  </hyperlinks>
  <pageMargins left="0.7" right="0.7" top="0.75" bottom="0.75" header="0.3" footer="0.3"/>
  <headerFooter>
    <oddHeader>&amp;C&amp;"Calibri"&amp;10&amp;K000000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6234-2F16-4C1B-967F-340940DE7DEA}">
  <dimension ref="A1:F45"/>
  <sheetViews>
    <sheetView zoomScale="114" zoomScaleNormal="115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G26" sqref="G26"/>
    </sheetView>
  </sheetViews>
  <sheetFormatPr defaultColWidth="8.58203125" defaultRowHeight="12" customHeight="1"/>
  <cols>
    <col min="1" max="1" width="57.33203125" style="178" bestFit="1" customWidth="1"/>
    <col min="2" max="2" width="15.33203125" style="328" customWidth="1"/>
    <col min="3" max="6" width="12.83203125" style="178" customWidth="1"/>
    <col min="7" max="16384" width="8.58203125" style="178"/>
  </cols>
  <sheetData>
    <row r="1" spans="1:6" ht="11.5">
      <c r="A1" s="5" t="s">
        <v>244</v>
      </c>
      <c r="B1" s="326"/>
    </row>
    <row r="2" spans="1:6" ht="11.5">
      <c r="A2" s="9" t="s">
        <v>6</v>
      </c>
      <c r="B2" s="327"/>
    </row>
    <row r="4" spans="1:6" ht="11.5">
      <c r="A4" s="10" t="s">
        <v>210</v>
      </c>
      <c r="B4" s="222" t="s">
        <v>211</v>
      </c>
      <c r="C4" s="283" t="s">
        <v>212</v>
      </c>
      <c r="D4" s="283" t="s">
        <v>213</v>
      </c>
      <c r="E4" s="283" t="s">
        <v>136</v>
      </c>
      <c r="F4" s="283" t="s">
        <v>140</v>
      </c>
    </row>
    <row r="5" spans="1:6" ht="11.5">
      <c r="A5" s="333" t="s">
        <v>214</v>
      </c>
      <c r="B5" s="331"/>
      <c r="C5" s="332"/>
      <c r="D5" s="332"/>
      <c r="E5" s="332"/>
      <c r="F5" s="332"/>
    </row>
    <row r="6" spans="1:6" ht="11.5">
      <c r="A6" s="178" t="s">
        <v>215</v>
      </c>
      <c r="B6" s="328" t="s">
        <v>216</v>
      </c>
      <c r="C6" s="190">
        <v>4.1000000000000002E-2</v>
      </c>
      <c r="D6" s="190">
        <v>4.1000000000000002E-2</v>
      </c>
      <c r="E6" s="190">
        <v>3.7999999999999999E-2</v>
      </c>
      <c r="F6" s="190">
        <v>4.8000000000000001E-2</v>
      </c>
    </row>
    <row r="7" spans="1:6" ht="11.5">
      <c r="A7" s="178" t="s">
        <v>217</v>
      </c>
      <c r="B7" s="328" t="s">
        <v>218</v>
      </c>
      <c r="C7" s="178">
        <v>0</v>
      </c>
      <c r="D7" s="178">
        <v>0</v>
      </c>
      <c r="E7" s="178">
        <v>0</v>
      </c>
      <c r="F7" s="178">
        <v>0</v>
      </c>
    </row>
    <row r="8" spans="1:6" ht="11.5">
      <c r="A8" s="178" t="s">
        <v>219</v>
      </c>
      <c r="B8" s="328" t="s">
        <v>216</v>
      </c>
      <c r="C8" s="192">
        <v>0.36</v>
      </c>
      <c r="D8" s="192">
        <v>0.36</v>
      </c>
      <c r="E8" s="192">
        <v>0.42</v>
      </c>
      <c r="F8" s="192">
        <v>0.43</v>
      </c>
    </row>
    <row r="9" spans="1:6" ht="11.5">
      <c r="A9" s="178" t="s">
        <v>220</v>
      </c>
      <c r="B9" s="328" t="s">
        <v>216</v>
      </c>
      <c r="C9" s="192">
        <v>0.18</v>
      </c>
      <c r="D9" s="192">
        <v>0.18</v>
      </c>
      <c r="E9" s="192">
        <v>0.17</v>
      </c>
      <c r="F9" s="192">
        <v>0.21</v>
      </c>
    </row>
    <row r="10" spans="1:6" ht="11.5">
      <c r="A10" s="334" t="s">
        <v>221</v>
      </c>
      <c r="B10" s="335" t="s">
        <v>216</v>
      </c>
      <c r="C10" s="336">
        <v>0.6</v>
      </c>
      <c r="D10" s="336">
        <v>0.59</v>
      </c>
      <c r="E10" s="336">
        <v>0.46</v>
      </c>
      <c r="F10" s="336">
        <v>0.46</v>
      </c>
    </row>
    <row r="12" spans="1:6" ht="11.5">
      <c r="A12" s="333" t="s">
        <v>222</v>
      </c>
      <c r="B12" s="331"/>
      <c r="C12" s="332"/>
      <c r="D12" s="332"/>
      <c r="E12" s="332"/>
      <c r="F12" s="332"/>
    </row>
    <row r="13" spans="1:6" ht="11.5">
      <c r="A13" s="178" t="s">
        <v>223</v>
      </c>
      <c r="B13" s="328" t="s">
        <v>224</v>
      </c>
      <c r="C13" s="192">
        <v>0.85</v>
      </c>
      <c r="D13" s="192">
        <v>0.9</v>
      </c>
      <c r="E13" s="192">
        <v>0.95</v>
      </c>
      <c r="F13" s="192">
        <v>0.95</v>
      </c>
    </row>
    <row r="14" spans="1:6" ht="11.5">
      <c r="A14" s="178" t="s">
        <v>225</v>
      </c>
      <c r="B14" s="328" t="s">
        <v>226</v>
      </c>
      <c r="C14" s="178">
        <v>2.19</v>
      </c>
      <c r="D14" s="178">
        <v>2.57</v>
      </c>
      <c r="E14" s="178">
        <v>3.46</v>
      </c>
      <c r="F14" s="178">
        <v>3.64</v>
      </c>
    </row>
    <row r="15" spans="1:6" ht="11.5">
      <c r="A15" s="334" t="s">
        <v>227</v>
      </c>
      <c r="B15" s="335" t="s">
        <v>226</v>
      </c>
      <c r="C15" s="337">
        <v>0.21</v>
      </c>
      <c r="D15" s="337">
        <v>0.51</v>
      </c>
      <c r="E15" s="337">
        <v>0.79</v>
      </c>
      <c r="F15" s="337">
        <v>1.49</v>
      </c>
    </row>
    <row r="17" spans="1:6" ht="11.5">
      <c r="A17" s="333" t="s">
        <v>228</v>
      </c>
      <c r="B17" s="331"/>
      <c r="C17" s="332"/>
      <c r="D17" s="332"/>
      <c r="E17" s="332"/>
      <c r="F17" s="332"/>
    </row>
    <row r="18" spans="1:6" ht="13.5">
      <c r="A18" s="178" t="s">
        <v>229</v>
      </c>
      <c r="B18" s="328" t="s">
        <v>230</v>
      </c>
      <c r="C18" s="145">
        <v>675497</v>
      </c>
      <c r="D18" s="145">
        <v>704264</v>
      </c>
      <c r="E18" s="145">
        <v>798881</v>
      </c>
      <c r="F18" s="386">
        <v>820916</v>
      </c>
    </row>
    <row r="19" spans="1:6" ht="13.5">
      <c r="A19" s="178" t="s">
        <v>231</v>
      </c>
      <c r="B19" s="328" t="s">
        <v>230</v>
      </c>
      <c r="C19" s="145">
        <v>456538</v>
      </c>
      <c r="D19" s="145">
        <v>414205</v>
      </c>
      <c r="E19" s="145">
        <v>729107</v>
      </c>
      <c r="F19" s="386">
        <v>638547</v>
      </c>
    </row>
    <row r="20" spans="1:6" ht="13.5">
      <c r="A20" s="178" t="s">
        <v>232</v>
      </c>
      <c r="B20" s="328" t="s">
        <v>233</v>
      </c>
      <c r="C20" s="338">
        <v>6.4000000000000001E-2</v>
      </c>
      <c r="D20" s="338">
        <v>5.6000000000000001E-2</v>
      </c>
      <c r="E20" s="338">
        <v>1.7999999999999999E-2</v>
      </c>
      <c r="F20" s="387">
        <v>1.6E-2</v>
      </c>
    </row>
    <row r="21" spans="1:6" ht="11.5">
      <c r="A21" s="178" t="s">
        <v>234</v>
      </c>
      <c r="B21" s="328" t="s">
        <v>216</v>
      </c>
      <c r="C21" s="190">
        <v>1.7299999999999999E-2</v>
      </c>
      <c r="D21" s="190">
        <v>2.2499999999999999E-2</v>
      </c>
      <c r="E21" s="190">
        <v>3.0599999999999999E-2</v>
      </c>
      <c r="F21" s="190">
        <v>3.7999999999999999E-2</v>
      </c>
    </row>
    <row r="22" spans="1:6" ht="11.5">
      <c r="A22" s="178" t="s">
        <v>235</v>
      </c>
      <c r="B22" s="328" t="s">
        <v>216</v>
      </c>
      <c r="C22" s="192">
        <v>0.51</v>
      </c>
      <c r="D22" s="192">
        <v>0.34</v>
      </c>
      <c r="E22" s="192">
        <v>0.4</v>
      </c>
      <c r="F22" s="192">
        <v>0.41</v>
      </c>
    </row>
    <row r="23" spans="1:6" ht="11.5">
      <c r="A23" s="334" t="s">
        <v>236</v>
      </c>
      <c r="B23" s="335" t="s">
        <v>237</v>
      </c>
      <c r="C23" s="334">
        <v>0</v>
      </c>
      <c r="D23" s="334">
        <v>0</v>
      </c>
      <c r="E23" s="334">
        <v>0</v>
      </c>
      <c r="F23" s="334">
        <v>0</v>
      </c>
    </row>
    <row r="26" spans="1:6" ht="11.5">
      <c r="A26" s="10" t="s">
        <v>37</v>
      </c>
      <c r="B26" s="283" t="s">
        <v>211</v>
      </c>
      <c r="C26" s="283" t="s">
        <v>140</v>
      </c>
      <c r="D26" s="283" t="s">
        <v>238</v>
      </c>
      <c r="E26" s="283" t="s">
        <v>239</v>
      </c>
      <c r="F26" s="283" t="s">
        <v>240</v>
      </c>
    </row>
    <row r="27" spans="1:6" ht="11.5">
      <c r="A27" s="333" t="s">
        <v>214</v>
      </c>
      <c r="B27" s="340"/>
      <c r="C27" s="340"/>
      <c r="D27" s="341"/>
      <c r="E27" s="341"/>
      <c r="F27" s="341"/>
    </row>
    <row r="28" spans="1:6" ht="11.5">
      <c r="A28" s="178" t="s">
        <v>38</v>
      </c>
      <c r="B28" s="339" t="s">
        <v>216</v>
      </c>
      <c r="C28" s="190">
        <v>4.8000000000000001E-2</v>
      </c>
      <c r="D28" s="190">
        <v>7.0000000000000007E-2</v>
      </c>
      <c r="E28" s="178">
        <v>2027</v>
      </c>
      <c r="F28" s="50">
        <f>C28/D28</f>
        <v>0.68571428571428561</v>
      </c>
    </row>
    <row r="29" spans="1:6" ht="14.15" customHeight="1">
      <c r="A29" s="178" t="s">
        <v>40</v>
      </c>
      <c r="E29" s="427" t="s">
        <v>241</v>
      </c>
      <c r="F29" s="427"/>
    </row>
    <row r="30" spans="1:6" ht="11.5">
      <c r="A30" s="334" t="s">
        <v>42</v>
      </c>
      <c r="B30" s="342" t="s">
        <v>216</v>
      </c>
      <c r="C30" s="336">
        <v>0.91</v>
      </c>
      <c r="D30" s="336">
        <v>0.9</v>
      </c>
      <c r="E30" s="428" t="s">
        <v>241</v>
      </c>
      <c r="F30" s="428"/>
    </row>
    <row r="32" spans="1:6" ht="11.5">
      <c r="A32" s="333" t="s">
        <v>222</v>
      </c>
      <c r="B32" s="331"/>
      <c r="C32" s="332"/>
      <c r="D32" s="332"/>
      <c r="E32" s="332"/>
      <c r="F32" s="332"/>
    </row>
    <row r="33" spans="1:6" ht="11.5">
      <c r="A33" s="178" t="s">
        <v>44</v>
      </c>
      <c r="B33" s="328" t="s">
        <v>226</v>
      </c>
      <c r="C33" s="178">
        <v>3.64</v>
      </c>
      <c r="D33" s="344">
        <v>5</v>
      </c>
      <c r="E33" s="345">
        <v>2027</v>
      </c>
      <c r="F33" s="50">
        <f>C33/D33</f>
        <v>0.72799999999999998</v>
      </c>
    </row>
    <row r="34" spans="1:6" ht="11.5">
      <c r="A34" s="334" t="s">
        <v>242</v>
      </c>
      <c r="B34" s="335" t="s">
        <v>226</v>
      </c>
      <c r="C34" s="334">
        <v>1.49</v>
      </c>
      <c r="D34" s="346">
        <v>3</v>
      </c>
      <c r="E34" s="347">
        <v>2027</v>
      </c>
      <c r="F34" s="343">
        <f>C34/D34</f>
        <v>0.49666666666666665</v>
      </c>
    </row>
    <row r="36" spans="1:6" ht="11.5">
      <c r="A36" s="333" t="s">
        <v>228</v>
      </c>
      <c r="B36" s="331"/>
      <c r="C36" s="332"/>
      <c r="D36" s="332"/>
      <c r="E36" s="332"/>
      <c r="F36" s="332"/>
    </row>
    <row r="37" spans="1:6" ht="11.5">
      <c r="A37" s="178" t="s">
        <v>48</v>
      </c>
      <c r="B37" s="348" t="s">
        <v>216</v>
      </c>
      <c r="C37" s="394">
        <v>-0.09</v>
      </c>
      <c r="D37" s="394">
        <v>-0.25</v>
      </c>
      <c r="E37" s="65">
        <v>2030</v>
      </c>
      <c r="F37" s="395">
        <f>C37/D37</f>
        <v>0.36</v>
      </c>
    </row>
    <row r="38" spans="1:6" ht="11.5">
      <c r="A38" s="334" t="s">
        <v>50</v>
      </c>
      <c r="B38" s="335"/>
      <c r="C38" s="334"/>
      <c r="D38" s="334"/>
      <c r="E38" s="428" t="s">
        <v>241</v>
      </c>
      <c r="F38" s="428"/>
    </row>
    <row r="41" spans="1:6" ht="11.5">
      <c r="A41" s="7" t="s">
        <v>129</v>
      </c>
      <c r="B41" s="329"/>
      <c r="C41" s="206"/>
      <c r="D41" s="206"/>
      <c r="E41" s="206"/>
      <c r="F41" s="206"/>
    </row>
    <row r="42" spans="1:6" ht="11.5">
      <c r="A42" s="7" t="s">
        <v>130</v>
      </c>
      <c r="B42" s="329"/>
      <c r="C42" s="206"/>
      <c r="D42" s="206"/>
      <c r="E42" s="206"/>
      <c r="F42" s="206"/>
    </row>
    <row r="43" spans="1:6" ht="12.5">
      <c r="A43" s="325" t="s">
        <v>131</v>
      </c>
      <c r="B43" s="330"/>
      <c r="C43" s="206"/>
      <c r="D43" s="206"/>
      <c r="E43" s="206"/>
      <c r="F43" s="206"/>
    </row>
    <row r="44" spans="1:6" ht="11.5">
      <c r="C44" s="206"/>
      <c r="D44" s="206"/>
      <c r="E44" s="206"/>
      <c r="F44" s="206"/>
    </row>
    <row r="45" spans="1:6" ht="11.5">
      <c r="C45" s="206"/>
      <c r="D45" s="206"/>
      <c r="E45" s="206"/>
      <c r="F45" s="206"/>
    </row>
  </sheetData>
  <mergeCells count="3">
    <mergeCell ref="E29:F29"/>
    <mergeCell ref="E38:F38"/>
    <mergeCell ref="E30:F30"/>
  </mergeCells>
  <hyperlinks>
    <hyperlink ref="A43" r:id="rId1" xr:uid="{EE02A634-2ACE-4DE1-A19A-8AD2D18ADA79}"/>
  </hyperlinks>
  <pageMargins left="0.7" right="0.7" top="0.75" bottom="0.75" header="0.3" footer="0.3"/>
  <headerFooter>
    <oddHeader>&amp;C&amp;"Calibri"&amp;10&amp;K000000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6FD20FAAA65840B7BFDFB3EBF2663D" ma:contentTypeVersion="19" ma:contentTypeDescription="Create a new document." ma:contentTypeScope="" ma:versionID="d1df0186f77658f5c9bea507798d205c">
  <xsd:schema xmlns:xsd="http://www.w3.org/2001/XMLSchema" xmlns:xs="http://www.w3.org/2001/XMLSchema" xmlns:p="http://schemas.microsoft.com/office/2006/metadata/properties" xmlns:ns2="9d133505-e9dd-40ce-b08c-525bb37a8cda" xmlns:ns3="ba92d1fa-f433-402f-95d2-0490491bac6f" targetNamespace="http://schemas.microsoft.com/office/2006/metadata/properties" ma:root="true" ma:fieldsID="205259d866bfe99587040cd36a473aef" ns2:_="" ns3:_="">
    <xsd:import namespace="9d133505-e9dd-40ce-b08c-525bb37a8cda"/>
    <xsd:import namespace="ba92d1fa-f433-402f-95d2-0490491ba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33505-e9dd-40ce-b08c-525bb37a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fa5231f-7f72-467b-8943-2b944794e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d1fa-f433-402f-95d2-0490491bac6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d456f9-4ef9-4657-bce9-d74720b599f2}" ma:internalName="TaxCatchAll" ma:showField="CatchAllData" ma:web="ba92d1fa-f433-402f-95d2-0490491ba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92d1fa-f433-402f-95d2-0490491bac6f" xsi:nil="true"/>
    <lcf76f155ced4ddcb4097134ff3c332f xmlns="9d133505-e9dd-40ce-b08c-525bb37a8c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BC477-FC66-4013-BF34-01E15C2A69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A9028B-6231-4949-AF1D-AD15143B0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33505-e9dd-40ce-b08c-525bb37a8cda"/>
    <ds:schemaRef ds:uri="ba92d1fa-f433-402f-95d2-0490491ba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FFCB4-5C15-48DB-AD40-31BADB4E24EB}">
  <ds:schemaRefs>
    <ds:schemaRef ds:uri="http://purl.org/dc/terms/"/>
    <ds:schemaRef ds:uri="http://schemas.openxmlformats.org/package/2006/metadata/core-properties"/>
    <ds:schemaRef ds:uri="9d133505-e9dd-40ce-b08c-525bb37a8cda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ba92d1fa-f433-402f-95d2-0490491bac6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Definition</vt:lpstr>
      <vt:lpstr>Operating stats</vt:lpstr>
      <vt:lpstr>FCFF</vt:lpstr>
      <vt:lpstr>Consolidated Income Statements</vt:lpstr>
      <vt:lpstr>Consolidated Balance Sheets</vt:lpstr>
      <vt:lpstr>Sustainability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Asamaphorn Muman</dc:creator>
  <cp:keywords/>
  <dc:description/>
  <cp:lastModifiedBy>Kairawee Kiatkaiwansiri</cp:lastModifiedBy>
  <cp:revision/>
  <dcterms:created xsi:type="dcterms:W3CDTF">2025-07-02T02:39:51Z</dcterms:created>
  <dcterms:modified xsi:type="dcterms:W3CDTF">2026-05-07T04:25:58Z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0x010100006FD20FAAA65840B7BFDFB3EBF2663D</vt:lpwstr>
  </property>
  <property fmtid="{D5CDD505-2E9C-101B-9397-08002B2CF9AE}" pid="3" name="MSIP_Label_cd3e60dd-5314-44d1-b471-abf6cc110c0e_Enabled">
    <vt:lpwstr>true</vt:lpwstr>
  </property>
  <property fmtid="{D5CDD505-2E9C-101B-9397-08002B2CF9AE}" pid="4" name="MSIP_Label_cd3e60dd-5314-44d1-b471-abf6cc110c0e_SetDate">
    <vt:lpwstr>2025-07-08T06:31:45Z</vt:lpwstr>
  </property>
  <property fmtid="{D5CDD505-2E9C-101B-9397-08002B2CF9AE}" pid="5" name="MSIP_Label_cd3e60dd-5314-44d1-b471-abf6cc110c0e_Method">
    <vt:lpwstr>Standard</vt:lpwstr>
  </property>
  <property fmtid="{D5CDD505-2E9C-101B-9397-08002B2CF9AE}" pid="6" name="MSIP_Label_cd3e60dd-5314-44d1-b471-abf6cc110c0e_Name">
    <vt:lpwstr>Internal</vt:lpwstr>
  </property>
  <property fmtid="{D5CDD505-2E9C-101B-9397-08002B2CF9AE}" pid="7" name="MSIP_Label_cd3e60dd-5314-44d1-b471-abf6cc110c0e_SiteId">
    <vt:lpwstr>833df664-61c8-4af0-bcce-b9eed5f10e5a</vt:lpwstr>
  </property>
  <property fmtid="{D5CDD505-2E9C-101B-9397-08002B2CF9AE}" pid="8" name="MSIP_Label_cd3e60dd-5314-44d1-b471-abf6cc110c0e_ActionId">
    <vt:lpwstr>449cf730-cafb-4fba-9955-f177cddd904e</vt:lpwstr>
  </property>
  <property fmtid="{D5CDD505-2E9C-101B-9397-08002B2CF9AE}" pid="9" name="MSIP_Label_cd3e60dd-5314-44d1-b471-abf6cc110c0e_ContentBits">
    <vt:lpwstr>1</vt:lpwstr>
  </property>
  <property fmtid="{D5CDD505-2E9C-101B-9397-08002B2CF9AE}" pid="10" name="MSIP_Label_cd3e60dd-5314-44d1-b471-abf6cc110c0e_Tag">
    <vt:lpwstr>10, 3, 0, 1</vt:lpwstr>
  </property>
  <property fmtid="{D5CDD505-2E9C-101B-9397-08002B2CF9AE}" pid="11" name="MediaServiceImageTags">
    <vt:lpwstr/>
  </property>
</Properties>
</file>